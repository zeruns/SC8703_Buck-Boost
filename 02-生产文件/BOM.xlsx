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68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<sst xmlns="http://schemas.openxmlformats.org/spreadsheetml/2006/main" count="155" uniqueCount="125">
  <si>
    <t>Designator</t>
  </si>
  <si>
    <t>Footprint</t>
  </si>
  <si>
    <t>Quantity</t>
  </si>
  <si>
    <t>Value</t>
  </si>
  <si>
    <t>规格</t>
  </si>
  <si>
    <t>单价</t>
  </si>
  <si>
    <t>总价</t>
  </si>
  <si>
    <t>购买链接</t>
  </si>
  <si>
    <t>C1, C2, R1, R2</t>
  </si>
  <si>
    <t>0603</t>
  </si>
  <si>
    <t>NC</t>
  </si>
  <si>
    <t>C10, C24, C25, C5</t>
  </si>
  <si>
    <t>CP_Elec_10x10.5</t>
  </si>
  <si>
    <t>220uF</t>
  </si>
  <si>
    <t>贴片固态电容, 220uF,±20%,50V, SMD 10*10.5mm</t>
  </si>
  <si>
    <t>https://s.click.taobao.com/t?e=m%3D2%26s%3DFc2%2BoSDpx6pw4vFB6t2Z2ueEDrYVVa64g3vZOarmkFi53hKxp7mNFl906SyIHsHUtMu0TF%2FHgSz0JlhLk0Jl4QTquP0kWxBLBDnvz6xo38xspWc9%2BCL4bTGF1ceZMhPo8mL8HhJ3EdVrH4ks4QyiY4z4rjZDGVMAhscfsB2%2FyzZJq71CBMBeP%2F1SarTXhIOTUdDn0Cj7EhOCIO0qHfvVlTk8GWePDnIgfrzqX5bdxnx6Vj3eaHUEAmAnqKPEdxxHVg6%2BOZNPXfs8jcab8WUvP5GZ9wPRcXV%2BQ%2FMlsmagC3Rp5%2BTNCwH3SzcZvJyDvNRYxiXvDf8DaRs%3D&amp;union_lens=lensId%3APUB%401771260731%402133c6d2_0ecd_19c675de1fc_6800%40023Jazg20QANIAbLlUpGANn8%40eyJmbG9vcklkIjo4MDY3NCwiic3BtQiiI6Il9wb3J0YWxfdjJfcGFnZXNfcHJvbW9fZ29vZHNfaW5kZXhfaHRtIiiwiic3JjRmxvb3JJZCI6IjgwNjc0In0ie%3BtkScm%3AselectionPlaza_site_4358_0_0_0_1_1771260731920114794199</t>
  </si>
  <si>
    <t>C11, C12, C13, C6, C7, C8</t>
  </si>
  <si>
    <t>10uF</t>
  </si>
  <si>
    <t>1206贴片电容, 10uF,±10%,50V,X5R</t>
  </si>
  <si>
    <t>https://s.click.taobao.com/t?e=m%3D2%26s%3DHR%2Bo%2FAiMNEhw4vFB6t2Z2ueEDrYVVa64g3vZOarmkFi53hKxp7mNFl906SyIHsHUV%2FIRtdibapD0JlhLk0Jl4QTquP0kWxBLBDnvz6xo38xspWc9%2BCL4bTGF1ceZMhPo8mL8HhJ3EdVrH4ks4QyiY4z4rjZDGVMAhscfsB2%2FyzZJq71CBMBeP%2F1SarTXhIOTUdDn0Cj7EhMn6oAoaCXUe1NlZE%2Ff31o3lrJ189UUjx9hjVoP77dyoSQBpIRREvIlFgWR3%2BaFIUfPdRNwMdZKqHB6Jd9pUfrR1KilmKsn0wzMpM7Jc6ympoWyqnRltvROxg5p7bh%2BFbQ%3D&amp;union_lens=lensId%3APUB%401771260968%40213e41d0_0e17_19c67617fbb_8053%40024a1aY3WVVufXXx2r3ZAon0%40eyJmbG9vcklkIjo4MDY3NCwiic3BtQiiI6Il9wb3J0YWxfdjJfcGFnZXNfcHJvbW9fZ29vZHNfaW5kZXhfaHRtIiiwiic3JjRmxvb3JJZCI6IjgwNjc0In0ie%3BtkScm%3AselectionPlaza_site_4358_0_0_0_1_1771260968910114794199</t>
  </si>
  <si>
    <t>C14, C16, C18, C9</t>
  </si>
  <si>
    <t>0402</t>
  </si>
  <si>
    <t>100nF</t>
  </si>
  <si>
    <t>0402贴片电容, 100nF,±10%,50V,X7R</t>
  </si>
  <si>
    <t>https://s.click.taobao.com/t?e=m%3D2%26s%3DsKl9WbKqhDBw4vFB6t2Z2ueEDrYVVa64g3vZOarmkFi53hKxp7mNFl906SyIHsHUzKH6MfjZ0yb0JlhLk0Jl4QTquP0kWxBLBDnvz6xo38xspWc9%2BCL4bTGF1ceZMhPo8mL8HhJ3EdVrH4ks4QyiY4z4rjZDGVMAhscfsB2%2FyzZJq71CBMBeP%2F1SarTXhIOTUdDn0Cj7EhPLjzujEnSGRMepZQL7mLq6UpHvvC8uLB6zNUK14DNy3yBz4dsHc5XHT%2Fn79VEHAyP%2F%2BAAA%2Bf9Z2pGZ9wPRcXV%2BQ%2FMlsmagC3SaWdFjx434GtxsimekgtT1xiXvDf8DaRs%3D&amp;union_lens=lensId%3APUB%401771261183%4021672dee_1db4_19c6764c655_4e80%40026YViwrGqiQPCLGx44fk1ov%40eyJmbG9vcklkIjo4MDY3NCwiic3BtQiiI6Il9wb3J0YWxfdjJfcGFnZXNfcHJvbW9fZ29vZHNfaW5kZXhfaHRtIiiwiic3JjRmxvb3JJZCI6IjgwNjc0In0ie%3BtkScm%3AselectionPlaza_site_4358_0_0_0_1_1771261183599114794199</t>
  </si>
  <si>
    <t>C15, C17, C20, C23</t>
  </si>
  <si>
    <t>1uF</t>
  </si>
  <si>
    <t>0402贴片电容, 1uF,±10%,50V,X5R</t>
  </si>
  <si>
    <t>https://activity.szlcsc.com/invite/D03E5B9CEAAE70A4.html</t>
  </si>
  <si>
    <t>C19, C21</t>
  </si>
  <si>
    <t>10nF</t>
  </si>
  <si>
    <t>0402贴片电容, 10nF,±10%,50V,X7R</t>
  </si>
  <si>
    <t>C22</t>
  </si>
  <si>
    <t>15nF</t>
  </si>
  <si>
    <t>0402贴片电容, 15nF,±10%,50V,X7R</t>
  </si>
  <si>
    <t>C3, C4</t>
  </si>
  <si>
    <t>47pF</t>
  </si>
  <si>
    <t>0402贴片电容, 47pF,±5%,50V,C0G</t>
  </si>
  <si>
    <t>D1</t>
  </si>
  <si>
    <t>LED-RED</t>
  </si>
  <si>
    <t>0603贴片LED, 红色</t>
  </si>
  <si>
    <t>https://s.click.taobao.com/t?e=m%3D2%26s%3DyaAa0gmyoIxw4vFB6t2Z2ueEDrYVVa64g3vZOarmkFi53hKxp7mNFl906SyIHsHUKCLlGttSfJD0JlhLk0Jl4QTquP0kWxBLBDnvz6xo38xspWc9%2BCL4bTGF1ceZMhPo8mL8HhJ3EdVrH4ks4QyiY4z4rjZDGVMAhscfsB2%2FyzZJq71CBMBeP%2F1SarTXhIOTUdDn0Cj7EhP013l4yagV1HGMfIbeFozGqH6QxayBHksPSQffE%2BcOe%2BYWp%2BocVrjLdArmuMWQp2E3QFmWALGYTXB6Jd9pUfrR1KilmKsn0wwIBKn4wJltlGQ9uwaULrmUxg5p7bh%2BFbQ%3D&amp;union_lens=lensId%3APUB%401771264105%40212b577d_3f19_19c67915d12_6f7d%40024aMGTlAazUtYg4nY5M8GBT%40eyJmbG9vcklkIjo4MDY3NCwiic3BtQiiI6Il9wb3J0YWxfdjJfcGFnZXNfcHJvbW9fZ29vZHNfaW5kZXhfaHRtIiiwiic3JjRmxvb3JJZCI6IjgwNjc0In0ie%3BtkScm%3AselectionPlaza_site_4358_0_0_0_1_1771264105767114794199</t>
  </si>
  <si>
    <t>D2, D3</t>
  </si>
  <si>
    <t>D_SOD-123F</t>
  </si>
  <si>
    <t>TPB2A100-123FL</t>
  </si>
  <si>
    <t>肖特基二极管, TPB2A100-123FL, SOD-123FL</t>
  </si>
  <si>
    <t>D4</t>
  </si>
  <si>
    <t>SB1045L</t>
  </si>
  <si>
    <t>肖特基二极管, SB1045L, TO-277</t>
  </si>
  <si>
    <t>J1</t>
  </si>
  <si>
    <t>AMASS_XT30PW-M_1x02_P2.50mm_Horizontal</t>
  </si>
  <si>
    <t>XT30PW-M</t>
  </si>
  <si>
    <t>XT30航模插头, 卧式弯脚公头, XT30PW-M</t>
  </si>
  <si>
    <t>https://s.click.taobao.com/t?e=m%3D2%26s%3DL8r5aSlkSwlw4vFB6t2Z2ueEDrYVVa64g3vZOarmkFi53hKxp7mNFl906SyIHsHU0PheBwIru6b0JlhLk0Jl4QTquP0kWxBLBDnvz6xo38xspWc9%2BCL4bTGF1ceZMhPo8mL8HhJ3EdVrH4ks4QyiY4z4rjZDGVMAhscfsB2%2FyzZJq71CBMBeP%2F1SarTXhIOTUdDn0Cj7EhNfc0vnFO6LLsq%2BI2SVIdiUARV%2FSW5JE2ddhTmdPRQX3jA6sTPqFj6IUoWFeWM61c0iBQOvTtHI9pGZ9wPRcXV%2BQ%2FMlsmagC3RsF3OLf8ax65%2B1H%2F0QgaPYxiXvDf8DaRs%3D&amp;union_lens=lensId%3APUB%401771264135%402133dd9e_1cb4_19c6791d177_1628%40024FHiFLrZ3r5Zi6MVJLWWZq%40eyJmbG9vcklkIjo4MDY3NCwiic3BtQiiI6Il9wb3J0YWxfdjJfcGFnZXNfcHJvbW9fZ29vZHNfaW5kZXhfaHRtIiiwiic3JjRmxvb3JJZCI6IjgwNjc0In0ie%3BtkScm%3AselectionPlaza_site_4358_0_0_0_1_1771264135564114794199</t>
  </si>
  <si>
    <t>J2</t>
  </si>
  <si>
    <t>AMASS_XT30PW-F_1x02_P2.50mm_Horizontal</t>
  </si>
  <si>
    <t>XT30PW-F</t>
  </si>
  <si>
    <t>XT30航模插头, 卧式弯脚母头, XT30PW-F</t>
  </si>
  <si>
    <t>J3</t>
  </si>
  <si>
    <t>USB_C_Receptacle_HCTL_HC-TYPE-C-16P-01A</t>
  </si>
  <si>
    <t>USB_C_Receptacle_USB2.0_16P</t>
  </si>
  <si>
    <t>Type-C 16P母座(四脚插外壳7.3长), 卧贴</t>
  </si>
  <si>
    <t>https://s.click.taobao.com/t?e=m%3D2%26s%3D1jNVXOYEf%2F5w4vFB6t2Z2ueEDrYVVa64g3vZOarmkFi53hKxp7mNFl906SyIHsHUTKnqFD0fo%2B70JlhLk0Jl4QTquP0kWxBLBDnvz6xo38xspWc9%2BCL4bTGF1ceZMhPo8mL8HhJ3EdVrH4ks4QyiY4z4rjZDGVMAhscfsB2%2FyzZJq71CBMBeP%2F1SarTXhIOTUdDn0Cj7EhMettJH%2BUPdwbdlFV3rRtzRvXWYFl3%2Fo3v%2FGHy2xQQc3%2BJT3YB2n7FbSYwaDUWQFnvEwYxHRBzpmnB6Jd9pUfrR1KilmKsn0wxcwxwJWth4WJP8wu00cX8yxg5p7bh%2BFbQ%3D&amp;union_lens=lensId%3APUB%401771264182%40214697b6_0e27_19c67928a8a_5179%40023ijm5gjlvViPQE6oMHHlr4%40eyJmbG9vcklkIjo4MDY3NCwiic3BtQiiI6Il9wb3J0YWxfdjJfcGFnZXNfcHJvbW9fZ29vZHNfaW5kZXhfaHRtIiiwiic3JjRmxvb3JJZCI6IjgwNjc0In0ie%3BtkScm%3AselectionPlaza_site_4358_0_0_0_1_1771264182943114794199</t>
  </si>
  <si>
    <t>L1</t>
  </si>
  <si>
    <t>L_APV_APH1265</t>
  </si>
  <si>
    <t>4.7uH</t>
  </si>
  <si>
    <t>1265一体成型电感, 4.7uH, 额定电流10A以上, 饱和电流12A以上</t>
  </si>
  <si>
    <t>https://s.click.taobao.com/t?e=m%3D2%26s%3DABa9CzglPcRw4vFB6t2Z2ueEDrYVVa64g3vZOarmkFi53hKxp7mNFl906SyIHsHU2wKQZbTCRVv0JlhLk0Jl4QTquP0kWxBLBDnvz6xo38xspWc9%2BCL4bTGF1ceZMhPo8mL8HhJ3EdVrH4ks4QyiY4z4rjZDGVMAhscfsB2%2FyzZJq71CBMBeP%2F1SarTXhIOTUdDn0Cj7EhPBWyuXbRLR7ibHaTKswN8dZU%2BkfvE0uuu1oRcfSV1uWtsUaFx9bUN6m16hVTMlxTdr0u6UAIM2GZGZ9wPRcXV%2BQ%2FMlsmagC3TCsh6p7xpDun59iPR0uCjOxiXvDf8DaRs%3D&amp;union_lens=lensId%3APUB%401771264247%40213e4197_1c20_19c67938544_cdd6%40026ocGEHzOy2r1gAbnBYP0DQ%40eyJmbG9vcklkIjo4MDY3NCwiic3BtQiiI6Il9wb3J0YWxfdjJfcGFnZXNfcHJvbW9fZ29vZHNfaW5kZXhfaHRtIiiwiic3JjRmxvb3JJZCI6IjgwNjc0In0ie%3BtkScm%3AselectionPlaza_site_4358_0_0_0_1_1771264247126114794199</t>
  </si>
  <si>
    <t>Q1, Q2, Q3, Q4</t>
  </si>
  <si>
    <t>DFN-8_L3.0-W3.0-P0.65-BL-4</t>
  </si>
  <si>
    <t>XRS100N06LD</t>
  </si>
  <si>
    <t>N-MOS, XRS100N06LD, PDFN-8L(3.3x3.3)</t>
  </si>
  <si>
    <t>R10, R13, R14, R9</t>
  </si>
  <si>
    <t>0R</t>
  </si>
  <si>
    <t>0603贴片电阻, 0Ω,±1%</t>
  </si>
  <si>
    <t>https://s.click.taobao.com/t?e=m%3D2%26s%3DSqphNGSpjLVw4vFB6t2Z2ueEDrYVVa64g3vZOarmkFi53hKxp7mNFl906SyIHsHUOGMfRkxr98P0JlhLk0Jl4QTquP0kWxBLBDnvz6xo38xspWc9%2BCL4bTGF1ceZMhPo8mL8HhJ3EdVrH4ks4QyiY4z4rjZDGVMAhscfsB2%2FyzZJq71CBMBeP%2F1SarTXhIOTUdDn0Cj7EhOuPZnzB%2BlpK8cpwswKt9LOXrGU3kUcUyRbVN4a56%2BfL8%2BCIRzE3sHUJbBHzi1gKt8m%2FOKUw789HZGZ9wPRcXV%2BQ%2FMlsmagC3RoJyoNzWYDyDPZy8NSAX%2BsxiXvDf8DaRs%3D&amp;union_lens=lensId%3APUB%401771264828%40213e418c_1cb2_19c679c631d_69d3%4002Oz9BVpJAzZzCEW4K2Ebys%40eyJmbG9vcklkIjo4MDY3NCwiic3BtQiiI6Il9wb3J0YWxfdjJfcGFnZXNfcHJvbW9fZ29vZHNfaW5kZXhfaHRtIiiwiic3JjRmxvb3JJZCI6IjgwNjc0In0ie%3BtkScm%3AselectionPlaza_site_4358_0_0_0_1_1771264828212114794199</t>
  </si>
  <si>
    <t>R11, R12, R17, R18</t>
  </si>
  <si>
    <t>12.1k</t>
  </si>
  <si>
    <t>0402贴片电阻, 12.1kΩ,±1%</t>
  </si>
  <si>
    <t>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</t>
  </si>
  <si>
    <t>R15</t>
  </si>
  <si>
    <t>68k</t>
  </si>
  <si>
    <t>0402贴片电阻, 68kΩ,±1%</t>
  </si>
  <si>
    <t>R16</t>
  </si>
  <si>
    <t>R19</t>
  </si>
  <si>
    <t>15k</t>
  </si>
  <si>
    <t>0402贴片电阻, 15kΩ,±1%</t>
  </si>
  <si>
    <t>R20</t>
  </si>
  <si>
    <t>1.74k</t>
  </si>
  <si>
    <t>0402贴片电阻, 1.74kΩ,±1%</t>
  </si>
  <si>
    <t>R21</t>
  </si>
  <si>
    <t>210k</t>
  </si>
  <si>
    <t>0402贴片电阻, 210kΩ,±1%</t>
  </si>
  <si>
    <t>R3, R4, R5, R6</t>
  </si>
  <si>
    <t>510R</t>
  </si>
  <si>
    <t>0402贴片电阻, 510Ω,±1%</t>
  </si>
  <si>
    <t>R7, R8</t>
  </si>
  <si>
    <t>5mR</t>
  </si>
  <si>
    <t>1206贴片合金采样电阻, 5mΩ,±1%</t>
  </si>
  <si>
    <t>https://s.click.taobao.com/t?e=m%3D2%26s%3Do7mNRwhHvQ5w4vFB6t2Z2ueEDrYVVa64g3vZOarmkFi53hKxp7mNFl906SyIHsHUL%2B3EHxzZUO30JlhLk0Jl4QTquP0kWxBLBDnvz6xo38xspWc9%2BCL4bTGF1ceZMhPo8mL8HhJ3EdVrH4ks4QyiY4z4rjZDGVMAhscfsB2%2FyzZJq71CBMBeP%2F1SarTXhIOTUdDn0Cj7EhOPHcS4ffjVsP12OFl%2BiNz5kC%2BQhk2y3DUv7Ga3OtGWz6nYwy3s1GykG5b75amyFquNPtJl%2FL2EanB6Jd9pUfrR1KilmKsn0wybSfMsptXDniR4aD2k9Lmwxg5p7bh%2BFbQ%3D&amp;union_lens=lensId%3APUB%401771264766%40212b0472_0ec3_19c679b717f_d32a%40024XaBWZ2ptphTAfhJFO4OKP%40eyJmbG9vcklkIjo4MDY3NCwiic3BtQiiI6Il9wb3J0YWxfdjJfcGFnZXNfcHJvbW9fZ29vZHNfaW5kZXhfaHRtIiiwiic3JjRmxvb3JJZCI6IjgwNjc0In0ie%3BtkScm%3AselectionPlaza_site_4358_0_0_0_1_1771264766359114794199</t>
  </si>
  <si>
    <t>RV1</t>
  </si>
  <si>
    <t>Potentiometer_Bourns_3296X_Horizontal</t>
  </si>
  <si>
    <t>200k</t>
  </si>
  <si>
    <t>可调多圈电位器, 侧调, 3296X, 200kΩ</t>
  </si>
  <si>
    <t>https://s.click.taobao.com/t?e=m%3D2%26s%3DCIwL%2F%2BMzhu5w4vFB6t2Z2ueEDrYVVa64g3vZOarmkFi53hKxp7mNFl906SyIHsHUumGtj3MIvvj0JlhLk0Jl4QTquP0kWxBLBDnvz6xo38xspWc9%2BCL4bTGF1ceZMhPo8mL8HhJ3EdVrH4ks4QyiY4z4rjZDGVMAhscfsB2%2FyzZJq71CBMBeP%2F1SarTXhIOTUdDn0Cj7EhP1WEBNQFaXlFYOjMd%2FSpMoZ85WTsGxYuv0ZByIuAO4gdsUaFx9bUN6OrgyVNm6Wwdeth6i%2FdSkupGZ9wPRcXV%2BQ%2FMlsmagC3QlDWbruDlNvy6e96JgP6unxiXvDf8DaRs%3D&amp;union_lens=lensId%3APUB%401771264951%402166a41c_0ed6_19c679e43f7_be72%40025gymgY2kelML74H5Tf1NUq%40eyJmbG9vcklkIjo4MDY3NCwiic3BtQiiI6Il9wb3J0YWxfdjJfcGFnZXNfcHJvbW9fZ29vZHNfaW5kZXhfaHRtIiiwiic3JjRmxvb3JJZCI6IjgwNjc0In0ie%3BtkScm%3AselectionPlaza_site_4358_0_0_0_1_1771264951310114794199</t>
  </si>
  <si>
    <t>RV2</t>
  </si>
  <si>
    <t>50k</t>
  </si>
  <si>
    <t>可调多圈电位器, 侧调, 3296X, 50kΩ</t>
  </si>
  <si>
    <t>U1</t>
  </si>
  <si>
    <t>QFN-32-1EP_4x4mm_P0.4mm_EP2.65x2.65mm</t>
  </si>
  <si>
    <t>SC8703</t>
  </si>
  <si>
    <t>DCDC控制器芯片, SC8703QDER, QFN-32,  SOUTHCHIP(南芯)</t>
  </si>
  <si>
    <t>https://s.click.taobao.com/t?e=m%3D2%26s%3Dan%2BB5uFwMq5w4vFB6t2Z2ueEDrYVVa64g3vZOarmkFi53hKxp7mNFl906SyIHsHU%2FGOuQUKjRCn0JlhLk0Jl4QTquP0kWxBLBDnvz6xo38xspWc9%2BCL4bTGF1ceZMhPo8mL8HhJ3EdVrH4ks4QyiY4z4rjZDGVMA2vu%2FJqG6bwUQWXJG1MRh8f1SarTXhIOTUdDn0Cj7EhN2Pl4o2Y2Q7tJf485wYdp4tbgROqUtmY2L%2Fk5DH%2FtI32B2jur%2Bt0%2B9TVZwku43jIQvWx4sd9rcP4%2BDKwFLEd9Q5dUsQ8NYvbgJnLVVdjsyYG0JqmWJ22%2FbcSpj5qSCmbA%3D&amp;union_lens=lensId%3APUB%401771265001%402166a41c_0ed6_19c679f08ef_6e74%40026n9ySuNgF9FfhEzWcaR889%40eyJmbG9vcklkIjo4MDY3NCwiic3BtQiiI6Il9wb3J0YWxfdjJfcGFnZXNfcHJvbW9fZ29vZHNfaW5kZXhfaHRtIiiwiic3JjRmxvb3JJZCI6IjgwNjc0In0ie%3BtkScm%3AselectionPlaza_site_4358_0_0_0_1_1771265001782114794199%3Bscm%3A1007.30148.329090.pub_search-item_a47d5fba-fd16-4c9a-8785-b33c8c97ce96_</t>
  </si>
  <si>
    <t>U2</t>
  </si>
  <si>
    <t>DFN-10_L2.0-W2.0-P0.40-BL-EP</t>
  </si>
  <si>
    <t>CH224Q</t>
  </si>
  <si>
    <t>快充协议芯片, CH224Q, DFN-10-EP(2x2), WCH(南京沁恒)</t>
  </si>
  <si>
    <t>https://s.click.taobao.com/t?e=m%3D2%26s%3DyD%2FA1DdmCjNw4vFB6t2Z2ueEDrYVVa64g3vZOarmkFi53hKxp7mNFl906SyIHsHUGmz5ATPQ0pD0JlhLk0Jl4QTquP0kWxBLBDnvz6xo38xspWc9%2BCL4bTGF1ceZMhPo8mL8HhJ3EdVrH4ks4QyiY4z4rjZDGVMAht8nlRRvULigFd2iucECtf1SarTXhIOTUdDn0Cj7EhOyJZiXO%2Bx1axHEUTRcxtrulKF4XZI%2BrojAbVBpiseDXUj8d4RCfMNnRzfMUMtwh10UB5HbJKSrS4%2BDKwFLEd9Q5dUsQ8NYvbhGSbzBYf7XDC1aEBqiGdF6IYULNg46oBA%3D&amp;union_lens=lensId%3APUB%401771265083%40212b60df_1c16_19c67a04825_44de%40025k8XLZBjxkDjDyOBj8G4dP%40eyJmbG9vcklkIjo4MDY3NCwiic3BtQiiI6Il9wb3J0YWxfdjJfcGFnZXNfcHJvbW9fZ29vZHNfaW5kZXhfaHRtIiiwiic3JjRmxvb3JJZCI6IjgwNjc0In0ie%3BtkScm%3AselectionPlaza_site_4358_0_0_0_2_1771265083483114794199%3Bscm%3A1007.30148.329090.pub_search-item_801e7efd-df15-4aca-b4fb-0f2e48aa6559_</t>
  </si>
  <si>
    <t>元器件总价</t>
  </si>
  <si>
    <t>铝合金外壳, 50x20x80</t>
  </si>
  <si>
    <t>https://s.click.taobao.com/t?e=m%3D2%26s%3Dm7ppRc7pyjxw4vFB6t2Z2ueEDrYVVa64g3vZOarmkFi53hKxp7mNFl906SyIHsHUgisT5LkN2Vf0JlhLk0Jl4QTquP0kWxBLBDnvz6xo38xspWc9%2BCL4bTGF1ceZMhPo8mL8HhJ3EdVrH4ks4QyiY4z4rjZDGVMAgt1Xoz3NywuQbZBrMLqCrKQ6sZp7gNLmb4%2BNtrBbTSwmGTNK7zPOItIzXv0rJWPWVXLM2txV%2F%2BpYRSyv3YQfl2CNVwjfrvbiPVWXLccrA79CxJKk3nRN%2FfShFdYOpjfQYdDt0XOR%2F6Z9axSNmgPlEN4m81Cb6eSozjlxp%2Boqn0xxKmPmpIKZsA%3D%3D&amp;union_lens=lensId%3APUB%401771265337%40212c2d4c_0dfe_19c67a426ce_90f2%40021Cc1bK4xiOKHPgL794KtXg%40eyJmbG9vcklkIjo4MDY3NCwiic3BtQiiI6Il9wb3J0YWxfdjJfcGFnZXNfcHJvbW9fZ29vZHNfaW5kZXhfaHRtIiiwiic3JjRmxvb3JJZCI6IjgwNjc0In0ie%3BtkScm%3AselectionPlaza_site_4358_0_0_0_1_1771265337058114794199</t>
  </si>
  <si>
    <t>导热硅胶垫</t>
  </si>
  <si>
    <t>https://s.click.taobao.com/t?e=m%3D2%26s%3Dq38cTSvCi45w4vFB6t2Z2ueEDrYVVa64YUrQeSeIhnK53hKxp7mNFl906SyIHsHUaehsYCTVG1f0JlhLk0Jl4QTquP0kWxBLBDnvz6xo38xspWc9%2BCL4bTGF1ceZMhPo8mL8HhJ3EdVrH4ks4QyiY4z4rjZDGVMAFBcM8wkWlGmBPeR%2FUFCetKLWMw3EOEsya4IwMROmDeIMiii8nofK1Bq72tami0OAb6iowcwcWQ0d1VTRN3%2FpDnX%2BJEoJGv1lrvOacrtjLBdyh%2FTFb3x8x4%2BDKwFLEd9Q5dUsQ8NYvbj%2B58h5pKGYu9YY89nTcJHE156qQZD%2BgbNaO3rzZGLwTMYOae24fhW0&amp;union_lens=lensId%3APUB%401771265466%40213e4291_1bff_19c67a620ad_a9b3%40026scMxGsDpklojIBO15t8k0%40eyJmbG9vcklkIjo4MDY3NCwiic3BtQiiI6Il9wb3J0YWxfdjJfcGFnZXNfcHJvbW9fZ29vZHNfaW5kZXhfaHRtIiiwiic3JjRmxvb3JJZCI6IjgwNjc0In0ie%3BtkScm%3AselectionPlaza_site_4358_0_0_0_29_1771265466601114794199%3Bscm%3A1007.30148.329090.pub_search-item_66a9bc56-ebf1-449a-919f-e7d3d6fea6d0_</t>
  </si>
  <si>
    <t>PCB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</si>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</sst>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0;&quot;￥&quot;\-#,##0.000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trike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800080"/>
      <name val="微软雅黑"/>
      <charset val="0"/>
    </font>
    <font>
      <u/>
      <sz val="11"/>
      <color rgb="FF0000FF"/>
      <name val="微软雅黑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7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7" fontId="3" fillId="0" borderId="2" xfId="0" applyNumberFormat="1" applyFont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0" fontId="5" fillId="0" borderId="1" xfId="6" applyFont="1" applyBorder="1" applyAlignment="1">
      <alignment horizontal="left" vertical="center"/>
    </xf>
    <xf numFmtId="0" fontId="6" fillId="0" borderId="1" xfId="6" applyFont="1" applyBorder="1" applyAlignment="1">
      <alignment horizontal="left" vertical="center"/>
    </xf>
    <xf numFmtId="0" fontId="7" fillId="0" borderId="1" xfId="6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7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7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 TargetMode="External"/><Relationship Id="rId8" Type="http://schemas.openxmlformats.org/officeDocument/2006/relationships/hyperlink" Target="https://s.click.taobao.com/t?e=m%3D2%26s%3DABa9CzglPcRw4vFB6t2Z2ueEDrYVVa64g3vZOarmkFi53hKxp7mNFl906SyIHsHU2wKQZbTCRVv0JlhLk0Jl4QTquP0kWxBLBDnvz6xo38xspWc9%2BCL4bTGF1ceZMhPo8mL8HhJ3EdVrH4ks4QyiY4z4rjZDGVMAhscfsB2%2FyzZJq71CBMBeP%2F1SarTXhIOTUdDn0Cj7EhPBWyuXbRLR7ibHaTKswN8dZU%2BkfvE0uuu1oRcfSV1uWtsUaFx9bUN6m16hVTMlxTdr0u6UAIM2GZGZ9wPRcXV%2BQ%2FMlsmagC3TCsh6p7xpDun59iPR0uCjOxiXvDf8DaRs%3D&amp;union_lens=lensId%3APUB%401771264247%40213e4197_1c20_19c67938544_cdd6%40026ocGEHzOy2r1gAbnBYP0DQ%40eyJmbG9vcklkIjo4MDY3NCwiic3BtQiiI6Il9wb3J0YWxfdjJfcGFnZXNfcHJvbW9fZ29vZHNfaW5kZXhfaHRtIiiwiic3JjRmxvb3JJZCI6IjgwNjc0In0ie%3BtkScm%3AselectionPlaza_site_4358_0_0_0_1_1771264247126114794199" TargetMode="External"/><Relationship Id="rId7" Type="http://schemas.openxmlformats.org/officeDocument/2006/relationships/hyperlink" Target="https://s.click.taobao.com/t?e=m%3D2%26s%3D1jNVXOYEf%2F5w4vFB6t2Z2ueEDrYVVa64g3vZOarmkFi53hKxp7mNFl906SyIHsHUTKnqFD0fo%2B70JlhLk0Jl4QTquP0kWxBLBDnvz6xo38xspWc9%2BCL4bTGF1ceZMhPo8mL8HhJ3EdVrH4ks4QyiY4z4rjZDGVMAhscfsB2%2FyzZJq71CBMBeP%2F1SarTXhIOTUdDn0Cj7EhMettJH%2BUPdwbdlFV3rRtzRvXWYFl3%2Fo3v%2FGHy2xQQc3%2BJT3YB2n7FbSYwaDUWQFnvEwYxHRBzpmnB6Jd9pUfrR1KilmKsn0wxcwxwJWth4WJP8wu00cX8yxg5p7bh%2BFbQ%3D&amp;union_lens=lensId%3APUB%401771264182%40214697b6_0e27_19c67928a8a_5179%40023ijm5gjlvViPQE6oMHHlr4%40eyJmbG9vcklkIjo4MDY3NCwiic3BtQiiI6Il9wb3J0YWxfdjJfcGFnZXNfcHJvbW9fZ29vZHNfaW5kZXhfaHRtIiiwiic3JjRmxvb3JJZCI6IjgwNjc0In0ie%3BtkScm%3AselectionPlaza_site_4358_0_0_0_1_1771264182943114794199" TargetMode="External"/><Relationship Id="rId6" Type="http://schemas.openxmlformats.org/officeDocument/2006/relationships/hyperlink" Target="https://s.click.taobao.com/t?e=m%3D2%26s%3DL8r5aSlkSwlw4vFB6t2Z2ueEDrYVVa64g3vZOarmkFi53hKxp7mNFl906SyIHsHU0PheBwIru6b0JlhLk0Jl4QTquP0kWxBLBDnvz6xo38xspWc9%2BCL4bTGF1ceZMhPo8mL8HhJ3EdVrH4ks4QyiY4z4rjZDGVMAhscfsB2%2FyzZJq71CBMBeP%2F1SarTXhIOTUdDn0Cj7EhNfc0vnFO6LLsq%2BI2SVIdiUARV%2FSW5JE2ddhTmdPRQX3jA6sTPqFj6IUoWFeWM61c0iBQOvTtHI9pGZ9wPRcXV%2BQ%2FMlsmagC3RsF3OLf8ax65%2B1H%2F0QgaPYxiXvDf8DaRs%3D&amp;union_lens=lensId%3APUB%401771264135%402133dd9e_1cb4_19c6791d177_1628%40024FHiFLrZ3r5Zi6MVJLWWZq%40eyJmbG9vcklkIjo4MDY3NCwiic3BtQiiI6Il9wb3J0YWxfdjJfcGFnZXNfcHJvbW9fZ29vZHNfaW5kZXhfaHRtIiiwiic3JjRmxvb3JJZCI6IjgwNjc0In0ie%3BtkScm%3AselectionPlaza_site_4358_0_0_0_1_1771264135564114794199" TargetMode="External"/><Relationship Id="rId5" Type="http://schemas.openxmlformats.org/officeDocument/2006/relationships/hyperlink" Target="https://s.click.taobao.com/t?e=m%3D2%26s%3DyaAa0gmyoIxw4vFB6t2Z2ueEDrYVVa64g3vZOarmkFi53hKxp7mNFl906SyIHsHUKCLlGttSfJD0JlhLk0Jl4QTquP0kWxBLBDnvz6xo38xspWc9%2BCL4bTGF1ceZMhPo8mL8HhJ3EdVrH4ks4QyiY4z4rjZDGVMAhscfsB2%2FyzZJq71CBMBeP%2F1SarTXhIOTUdDn0Cj7EhP013l4yagV1HGMfIbeFozGqH6QxayBHksPSQffE%2BcOe%2BYWp%2BocVrjLdArmuMWQp2E3QFmWALGYTXB6Jd9pUfrR1KilmKsn0wwIBKn4wJltlGQ9uwaULrmUxg5p7bh%2BFbQ%3D&amp;union_lens=lensId%3APUB%401771264105%40212b577d_3f19_19c67915d12_6f7d%40024aMGTlAazUtYg4nY5M8GBT%40eyJmbG9vcklkIjo4MDY3NCwiic3BtQiiI6Il9wb3J0YWxfdjJfcGFnZXNfcHJvbW9fZ29vZHNfaW5kZXhfaHRtIiiwiic3JjRmxvb3JJZCI6IjgwNjc0In0ie%3BtkScm%3AselectionPlaza_site_4358_0_0_0_1_1771264105767114794199" TargetMode="External"/><Relationship Id="rId4" Type="http://schemas.openxmlformats.org/officeDocument/2006/relationships/hyperlink" Target="https://activity.szlcsc.com/invite/D03E5B9CEAAE70A4.html" TargetMode="External"/><Relationship Id="rId3" Type="http://schemas.openxmlformats.org/officeDocument/2006/relationships/hyperlink" Target="https://s.click.taobao.com/t?e=m%3D2%26s%3DsKl9WbKqhDBw4vFB6t2Z2ueEDrYVVa64g3vZOarmkFi53hKxp7mNFl906SyIHsHUzKH6MfjZ0yb0JlhLk0Jl4QTquP0kWxBLBDnvz6xo38xspWc9%2BCL4bTGF1ceZMhPo8mL8HhJ3EdVrH4ks4QyiY4z4rjZDGVMAhscfsB2%2FyzZJq71CBMBeP%2F1SarTXhIOTUdDn0Cj7EhPLjzujEnSGRMepZQL7mLq6UpHvvC8uLB6zNUK14DNy3yBz4dsHc5XHT%2Fn79VEHAyP%2F%2BAAA%2Bf9Z2pGZ9wPRcXV%2BQ%2FMlsmagC3SaWdFjx434GtxsimekgtT1xiXvDf8DaRs%3D&amp;union_lens=lensId%3APUB%401771261183%4021672dee_1db4_19c6764c655_4e80%40026YViwrGqiQPCLGx44fk1ov%40eyJmbG9vcklkIjo4MDY3NCwiic3BtQiiI6Il9wb3J0YWxfdjJfcGFnZXNfcHJvbW9fZ29vZHNfaW5kZXhfaHRtIiiwiic3JjRmxvb3JJZCI6IjgwNjc0In0ie%3BtkScm%3AselectionPlaza_site_4358_0_0_0_1_1771261183599114794199" TargetMode="External"/><Relationship Id="rId2" Type="http://schemas.openxmlformats.org/officeDocument/2006/relationships/hyperlink" Target="https://s.click.taobao.com/t?e=m%3D2%26s%3DHR%2Bo%2FAiMNEhw4vFB6t2Z2ueEDrYVVa64g3vZOarmkFi53hKxp7mNFl906SyIHsHUV%2FIRtdibapD0JlhLk0Jl4QTquP0kWxBLBDnvz6xo38xspWc9%2BCL4bTGF1ceZMhPo8mL8HhJ3EdVrH4ks4QyiY4z4rjZDGVMAhscfsB2%2FyzZJq71CBMBeP%2F1SarTXhIOTUdDn0Cj7EhMn6oAoaCXUe1NlZE%2Ff31o3lrJ189UUjx9hjVoP77dyoSQBpIRREvIlFgWR3%2BaFIUfPdRNwMdZKqHB6Jd9pUfrR1KilmKsn0wzMpM7Jc6ympoWyqnRltvROxg5p7bh%2BFbQ%3D&amp;union_lens=lensId%3APUB%401771260968%40213e41d0_0e17_19c67617fbb_8053%40024a1aY3WVVufXXx2r3ZAon0%40eyJmbG9vcklkIjo4MDY3NCwiic3BtQiiI6Il9wb3J0YWxfdjJfcGFnZXNfcHJvbW9fZ29vZHNfaW5kZXhfaHRtIiiwiic3JjRmxvb3JJZCI6IjgwNjc0In0ie%3BtkScm%3AselectionPlaza_site_4358_0_0_0_1_1771260968910114794199" TargetMode="External"/><Relationship Id="rId16" Type="http://schemas.openxmlformats.org/officeDocument/2006/relationships/hyperlink" Target="https://s.click.taobao.com/t?e=m%3D2%26s%3Dq38cTSvCi45w4vFB6t2Z2ueEDrYVVa64YUrQeSeIhnK53hKxp7mNFl906SyIHsHUaehsYCTVG1f0JlhLk0Jl4QTquP0kWxBLBDnvz6xo38xspWc9%2BCL4bTGF1ceZMhPo8mL8HhJ3EdVrH4ks4QyiY4z4rjZDGVMAFBcM8wkWlGmBPeR%2FUFCetKLWMw3EOEsya4IwMROmDeIMiii8nofK1Bq72tami0OAb6iowcwcWQ0d1VTRN3%2FpDnX%2BJEoJGv1lrvOacrtjLBdyh%2FTFb3x8x4%2BDKwFLEd9Q5dUsQ8NYvbj%2B58h5pKGYu9YY89nTcJHE156qQZD%2BgbNaO3rzZGLwTMYOae24fhW0&amp;union_lens=lensId%3APUB%401771265466%40213e4291_1bff_19c67a620ad_a9b3%40026scMxGsDpklojIBO15t8k0%40eyJmbG9vcklkIjo4MDY3NCwiic3BtQiiI6Il9wb3J0YWxfdjJfcGFnZXNfcHJvbW9fZ29vZHNfaW5kZXhfaHRtIiiwiic3JjRmxvb3JJZCI6IjgwNjc0In0ie%3BtkScm%3AselectionPlaza_site_4358_0_0_0_29_1771265466601114794199%3Bscm%3A1007.30148.329090.pub_search-item_66a9bc56-ebf1-449a-919f-e7d3d6fea6d0_" TargetMode="External"/><Relationship Id="rId15" Type="http://schemas.openxmlformats.org/officeDocument/2006/relationships/hyperlink" Target="https://s.click.taobao.com/t?e=m%3D2%26s%3Dm7ppRc7pyjxw4vFB6t2Z2ueEDrYVVa64g3vZOarmkFi53hKxp7mNFl906SyIHsHUgisT5LkN2Vf0JlhLk0Jl4QTquP0kWxBLBDnvz6xo38xspWc9%2BCL4bTGF1ceZMhPo8mL8HhJ3EdVrH4ks4QyiY4z4rjZDGVMAgt1Xoz3NywuQbZBrMLqCrKQ6sZp7gNLmb4%2BNtrBbTSwmGTNK7zPOItIzXv0rJWPWVXLM2txV%2F%2BpYRSyv3YQfl2CNVwjfrvbiPVWXLccrA79CxJKk3nRN%2FfShFdYOpjfQYdDt0XOR%2F6Z9axSNmgPlEN4m81Cb6eSozjlxp%2Boqn0xxKmPmpIKZsA%3D%3D&amp;union_lens=lensId%3APUB%401771265337%40212c2d4c_0dfe_19c67a426ce_90f2%40021Cc1bK4xiOKHPgL794KtXg%40eyJmbG9vcklkIjo4MDY3NCwiic3BtQiiI6Il9wb3J0YWxfdjJfcGFnZXNfcHJvbW9fZ29vZHNfaW5kZXhfaHRtIiiwiic3JjRmxvb3JJZCI6IjgwNjc0In0ie%3BtkScm%3AselectionPlaza_site_4358_0_0_0_1_1771265337058114794199" TargetMode="External"/><Relationship Id="rId14" Type="http://schemas.openxmlformats.org/officeDocument/2006/relationships/hyperlink" Target="https://s.click.taobao.com/t?e=m%3D2%26s%3DyD%2FA1DdmCjNw4vFB6t2Z2ueEDrYVVa64g3vZOarmkFi53hKxp7mNFl906SyIHsHUGmz5ATPQ0pD0JlhLk0Jl4QTquP0kWxBLBDnvz6xo38xspWc9%2BCL4bTGF1ceZMhPo8mL8HhJ3EdVrH4ks4QyiY4z4rjZDGVMAht8nlRRvULigFd2iucECtf1SarTXhIOTUdDn0Cj7EhOyJZiXO%2Bx1axHEUTRcxtrulKF4XZI%2BrojAbVBpiseDXUj8d4RCfMNnRzfMUMtwh10UB5HbJKSrS4%2BDKwFLEd9Q5dUsQ8NYvbhGSbzBYf7XDC1aEBqiGdF6IYULNg46oBA%3D&amp;union_lens=lensId%3APUB%401771265083%40212b60df_1c16_19c67a04825_44de%40025k8XLZBjxkDjDyOBj8G4dP%40eyJmbG9vcklkIjo4MDY3NCwiic3BtQiiI6Il9wb3J0YWxfdjJfcGFnZXNfcHJvbW9fZ29vZHNfaW5kZXhfaHRtIiiwiic3JjRmxvb3JJZCI6IjgwNjc0In0ie%3BtkScm%3AselectionPlaza_site_4358_0_0_0_2_1771265083483114794199%3Bscm%3A1007.30148.329090.pub_search-item_801e7efd-df15-4aca-b4fb-0f2e48aa6559_" TargetMode="External"/><Relationship Id="rId13" Type="http://schemas.openxmlformats.org/officeDocument/2006/relationships/hyperlink" Target="https://s.click.taobao.com/t?e=m%3D2%26s%3Dan%2BB5uFwMq5w4vFB6t2Z2ueEDrYVVa64g3vZOarmkFi53hKxp7mNFl906SyIHsHU%2FGOuQUKjRCn0JlhLk0Jl4QTquP0kWxBLBDnvz6xo38xspWc9%2BCL4bTGF1ceZMhPo8mL8HhJ3EdVrH4ks4QyiY4z4rjZDGVMA2vu%2FJqG6bwUQWXJG1MRh8f1SarTXhIOTUdDn0Cj7EhN2Pl4o2Y2Q7tJf485wYdp4tbgROqUtmY2L%2Fk5DH%2FtI32B2jur%2Bt0%2B9TVZwku43jIQvWx4sd9rcP4%2BDKwFLEd9Q5dUsQ8NYvbgJnLVVdjsyYG0JqmWJ22%2FbcSpj5qSCmbA%3D&amp;union_lens=lensId%3APUB%401771265001%402166a41c_0ed6_19c679f08ef_6e74%40026n9ySuNgF9FfhEzWcaR889%40eyJmbG9vcklkIjo4MDY3NCwiic3BtQiiI6Il9wb3J0YWxfdjJfcGFnZXNfcHJvbW9fZ29vZHNfaW5kZXhfaHRtIiiwiic3JjRmxvb3JJZCI6IjgwNjc0In0ie%3BtkScm%3AselectionPlaza_site_4358_0_0_0_1_1771265001782114794199%3Bscm%3A1007.30148.329090.pub_search-item_a47d5fba-fd16-4c9a-8785-b33c8c97ce96_" TargetMode="External"/><Relationship Id="rId12" Type="http://schemas.openxmlformats.org/officeDocument/2006/relationships/hyperlink" Target="https://s.click.taobao.com/t?e=m%3D2%26s%3DCIwL%2F%2BMzhu5w4vFB6t2Z2ueEDrYVVa64g3vZOarmkFi53hKxp7mNFl906SyIHsHUumGtj3MIvvj0JlhLk0Jl4QTquP0kWxBLBDnvz6xo38xspWc9%2BCL4bTGF1ceZMhPo8mL8HhJ3EdVrH4ks4QyiY4z4rjZDGVMAhscfsB2%2FyzZJq71CBMBeP%2F1SarTXhIOTUdDn0Cj7EhP1WEBNQFaXlFYOjMd%2FSpMoZ85WTsGxYuv0ZByIuAO4gdsUaFx9bUN6OrgyVNm6Wwdeth6i%2FdSkupGZ9wPRcXV%2BQ%2FMlsmagC3QlDWbruDlNvy6e96JgP6unxiXvDf8DaRs%3D&amp;union_lens=lensId%3APUB%401771264951%402166a41c_0ed6_19c679e43f7_be72%40025gymgY2kelML74H5Tf1NUq%40eyJmbG9vcklkIjo4MDY3NCwiic3BtQiiI6Il9wb3J0YWxfdjJfcGFnZXNfcHJvbW9fZ29vZHNfaW5kZXhfaHRtIiiwiic3JjRmxvb3JJZCI6IjgwNjc0In0ie%3BtkScm%3AselectionPlaza_site_4358_0_0_0_1_1771264951310114794199" TargetMode="External"/><Relationship Id="rId11" Type="http://schemas.openxmlformats.org/officeDocument/2006/relationships/hyperlink" Target="https://s.click.taobao.com/t?e=m%3D2%26s%3DSqphNGSpjLVw4vFB6t2Z2ueEDrYVVa64g3vZOarmkFi53hKxp7mNFl906SyIHsHUOGMfRkxr98P0JlhLk0Jl4QTquP0kWxBLBDnvz6xo38xspWc9%2BCL4bTGF1ceZMhPo8mL8HhJ3EdVrH4ks4QyiY4z4rjZDGVMAhscfsB2%2FyzZJq71CBMBeP%2F1SarTXhIOTUdDn0Cj7EhOuPZnzB%2BlpK8cpwswKt9LOXrGU3kUcUyRbVN4a56%2BfL8%2BCIRzE3sHUJbBHzi1gKt8m%2FOKUw789HZGZ9wPRcXV%2BQ%2FMlsmagC3RoJyoNzWYDyDPZy8NSAX%2BsxiXvDf8DaRs%3D&amp;union_lens=lensId%3APUB%401771264828%40213e418c_1cb2_19c679c631d_69d3%4002Oz9BVpJAzZzCEW4K2Ebys%40eyJmbG9vcklkIjo4MDY3NCwiic3BtQiiI6Il9wb3J0YWxfdjJfcGFnZXNfcHJvbW9fZ29vZHNfaW5kZXhfaHRtIiiwiic3JjRmxvb3JJZCI6IjgwNjc0In0ie%3BtkScm%3AselectionPlaza_site_4358_0_0_0_1_1771264828212114794199" TargetMode="External"/><Relationship Id="rId10" Type="http://schemas.openxmlformats.org/officeDocument/2006/relationships/hyperlink" Target="https://s.click.taobao.com/t?e=m%3D2%26s%3Do7mNRwhHvQ5w4vFB6t2Z2ueEDrYVVa64g3vZOarmkFi53hKxp7mNFl906SyIHsHUL%2B3EHxzZUO30JlhLk0Jl4QTquP0kWxBLBDnvz6xo38xspWc9%2BCL4bTGF1ceZMhPo8mL8HhJ3EdVrH4ks4QyiY4z4rjZDGVMAhscfsB2%2FyzZJq71CBMBeP%2F1SarTXhIOTUdDn0Cj7EhOPHcS4ffjVsP12OFl%2BiNz5kC%2BQhk2y3DUv7Ga3OtGWz6nYwy3s1GykG5b75amyFquNPtJl%2FL2EanB6Jd9pUfrR1KilmKsn0wybSfMsptXDniR4aD2k9Lmwxg5p7bh%2BFbQ%3D&amp;union_lens=lensId%3APUB%401771264766%40212b0472_0ec3_19c679b717f_d32a%40024XaBWZ2ptphTAfhJFO4OKP%40eyJmbG9vcklkIjo4MDY3NCwiic3BtQiiI6Il9wb3J0YWxfdjJfcGFnZXNfcHJvbW9fZ29vZHNfaW5kZXhfaHRtIiiwiic3JjRmxvb3JJZCI6IjgwNjc0In0ie%3BtkScm%3AselectionPlaza_site_4358_0_0_0_1_1771264766359114794199" TargetMode="External"/><Relationship Id="rId1" Type="http://schemas.openxmlformats.org/officeDocument/2006/relationships/hyperlink" Target="https://s.click.taobao.com/t?e=m%3D2%26s%3DFc2%2BoSDpx6pw4vFB6t2Z2ueEDrYVVa64g3vZOarmkFi53hKxp7mNFl906SyIHsHUtMu0TF%2FHgSz0JlhLk0Jl4QTquP0kWxBLBDnvz6xo38xspWc9%2BCL4bTGF1ceZMhPo8mL8HhJ3EdVrH4ks4QyiY4z4rjZDGVMAhscfsB2%2FyzZJq71CBMBeP%2F1SarTXhIOTUdDn0Cj7EhOCIO0qHfvVlTk8GWePDnIgfrzqX5bdxnx6Vj3eaHUEAmAnqKPEdxxHVg6%2BOZNPXfs8jcab8WUvP5GZ9wPRcXV%2BQ%2FMlsmagC3Rp5%2BTNCwH3SzcZvJyDvNRYxiXvDf8DaRs%3D&amp;union_lens=lensId%3APUB%401771260731%402133c6d2_0ecd_19c675de1fc_6800%40023Jazg20QANIAbLlUpGANn8%40eyJmbG9vcklkIjo4MDY3NCwiic3BtQiiI6Il9wb3J0YWxfdjJfcGFnZXNfcHJvbW9fZ29vZHNfaW5kZXhfaHRtIiiwiic3JjRmxvb3JJZCI6IjgwNjc0In0ie%3BtkScm%3AselectionPlaza_site_4358_0_0_0_1_177126073192011479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115" zoomScaleNormal="115" zoomScaleSheetLayoutView="60" workbookViewId="0">
      <selection activeCell="B37" sqref="B37"/>
    </sheetView>
  </sheetViews>
  <sheetFormatPr defaultColWidth="9.81818181818182" defaultRowHeight="14" outlineLevelCol="7"/>
  <cols>
    <col min="1" max="1" width="27.4545454545455" style="1" customWidth="1"/>
    <col min="2" max="2" width="25.2727272727273" style="1" customWidth="1"/>
    <col min="3" max="3" width="11.8181818181818" style="1" customWidth="1"/>
    <col min="4" max="4" width="13.4545454545455" style="1" customWidth="1"/>
    <col min="5" max="5" width="43.0909090909091" style="1" customWidth="1"/>
    <col min="6" max="6" width="13.5454545454545" style="2" customWidth="1"/>
    <col min="7" max="7" width="12.5454545454545" style="3" customWidth="1"/>
    <col min="8" max="8" width="13.8181818181818" style="4" customWidth="1"/>
  </cols>
  <sheetData>
    <row r="1" ht="16.5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</row>
    <row r="2" ht="16.5" spans="1:8">
      <c r="A2" s="8" t="s">
        <v>8</v>
      </c>
      <c r="B2" s="31" t="s">
        <v>9</v>
      </c>
      <c r="C2" s="9">
        <v>4</v>
      </c>
      <c r="D2" s="8" t="s">
        <v>10</v>
      </c>
      <c r="E2" s="9"/>
      <c r="F2" s="10"/>
      <c r="G2" s="11">
        <f>C2*F2</f>
        <v>0</v>
      </c>
      <c r="H2" s="12"/>
    </row>
    <row r="3" ht="33" spans="1:8">
      <c r="A3" s="13" t="s">
        <v>11</v>
      </c>
      <c r="B3" s="13" t="s">
        <v>12</v>
      </c>
      <c r="C3" s="14">
        <v>4</v>
      </c>
      <c r="D3" s="13" t="s">
        <v>13</v>
      </c>
      <c r="E3" s="13" t="s">
        <v>14</v>
      </c>
      <c r="F3" s="15">
        <v>1.32</v>
      </c>
      <c r="G3" s="16">
        <f t="shared" ref="G3:G30" si="0">C3*F3</f>
        <v>5.28</v>
      </c>
      <c r="H3" s="17" t="s">
        <v>15</v>
      </c>
    </row>
    <row r="4" ht="16.5" spans="1:8">
      <c r="A4" s="13" t="s">
        <v>16</v>
      </c>
      <c r="B4" s="14">
        <v>1206</v>
      </c>
      <c r="C4" s="14">
        <v>6</v>
      </c>
      <c r="D4" s="13" t="s">
        <v>17</v>
      </c>
      <c r="E4" s="13" t="s">
        <v>18</v>
      </c>
      <c r="F4" s="15">
        <v>0.22</v>
      </c>
      <c r="G4" s="16">
        <f t="shared" si="0"/>
        <v>1.32</v>
      </c>
      <c r="H4" s="17" t="s">
        <v>19</v>
      </c>
    </row>
    <row r="5" ht="16.5" spans="1:8">
      <c r="A5" s="13" t="s">
        <v>20</v>
      </c>
      <c r="B5" s="32" t="s">
        <v>21</v>
      </c>
      <c r="C5" s="14">
        <v>4</v>
      </c>
      <c r="D5" s="13" t="s">
        <v>22</v>
      </c>
      <c r="E5" s="13" t="s">
        <v>23</v>
      </c>
      <c r="F5" s="15">
        <f>1.65/50</f>
        <v>0.033</v>
      </c>
      <c r="G5" s="16">
        <f t="shared" si="0"/>
        <v>0.132</v>
      </c>
      <c r="H5" s="17" t="s">
        <v>24</v>
      </c>
    </row>
    <row r="6" ht="16.5" spans="1:8">
      <c r="A6" s="13" t="s">
        <v>25</v>
      </c>
      <c r="B6" s="32" t="s">
        <v>21</v>
      </c>
      <c r="C6" s="14">
        <v>4</v>
      </c>
      <c r="D6" s="13" t="s">
        <v>26</v>
      </c>
      <c r="E6" s="13" t="s">
        <v>27</v>
      </c>
      <c r="F6" s="15">
        <v>0.0859</v>
      </c>
      <c r="G6" s="16">
        <f t="shared" si="0"/>
        <v>0.3436</v>
      </c>
      <c r="H6" s="18" t="s">
        <v>28</v>
      </c>
    </row>
    <row r="7" ht="16.5" spans="1:8">
      <c r="A7" s="13" t="s">
        <v>29</v>
      </c>
      <c r="B7" s="32" t="s">
        <v>21</v>
      </c>
      <c r="C7" s="14">
        <v>2</v>
      </c>
      <c r="D7" s="13" t="s">
        <v>30</v>
      </c>
      <c r="E7" s="13" t="s">
        <v>31</v>
      </c>
      <c r="F7" s="15">
        <f>1.65/50</f>
        <v>0.033</v>
      </c>
      <c r="G7" s="16">
        <f t="shared" si="0"/>
        <v>0.066</v>
      </c>
      <c r="H7" s="18" t="s">
        <v>24</v>
      </c>
    </row>
    <row r="8" ht="16.5" spans="1:8">
      <c r="A8" s="13" t="s">
        <v>32</v>
      </c>
      <c r="B8" s="32" t="s">
        <v>21</v>
      </c>
      <c r="C8" s="14">
        <v>1</v>
      </c>
      <c r="D8" s="13" t="s">
        <v>33</v>
      </c>
      <c r="E8" s="13" t="s">
        <v>34</v>
      </c>
      <c r="F8" s="15">
        <v>0.0073</v>
      </c>
      <c r="G8" s="16">
        <f t="shared" si="0"/>
        <v>0.0073</v>
      </c>
      <c r="H8" s="18" t="s">
        <v>28</v>
      </c>
    </row>
    <row r="9" ht="16.5" spans="1:8">
      <c r="A9" s="13" t="s">
        <v>35</v>
      </c>
      <c r="B9" s="32" t="s">
        <v>21</v>
      </c>
      <c r="C9" s="14">
        <v>2</v>
      </c>
      <c r="D9" s="13" t="s">
        <v>36</v>
      </c>
      <c r="E9" s="13" t="s">
        <v>37</v>
      </c>
      <c r="F9" s="15">
        <f>1.65/50</f>
        <v>0.033</v>
      </c>
      <c r="G9" s="16">
        <f t="shared" si="0"/>
        <v>0.066</v>
      </c>
      <c r="H9" s="18" t="s">
        <v>24</v>
      </c>
    </row>
    <row r="10" ht="16.5" spans="1:8">
      <c r="A10" s="13" t="s">
        <v>38</v>
      </c>
      <c r="B10" s="32" t="s">
        <v>9</v>
      </c>
      <c r="C10" s="14">
        <v>1</v>
      </c>
      <c r="D10" s="13" t="s">
        <v>39</v>
      </c>
      <c r="E10" s="13" t="s">
        <v>40</v>
      </c>
      <c r="F10" s="15">
        <f>0.55/20</f>
        <v>0.0275</v>
      </c>
      <c r="G10" s="16">
        <f t="shared" si="0"/>
        <v>0.0275</v>
      </c>
      <c r="H10" s="17" t="s">
        <v>41</v>
      </c>
    </row>
    <row r="11" ht="33" spans="1:8">
      <c r="A11" s="13" t="s">
        <v>42</v>
      </c>
      <c r="B11" s="13" t="s">
        <v>43</v>
      </c>
      <c r="C11" s="14">
        <v>2</v>
      </c>
      <c r="D11" s="13" t="s">
        <v>44</v>
      </c>
      <c r="E11" s="13" t="s">
        <v>45</v>
      </c>
      <c r="F11" s="15">
        <v>0.32607</v>
      </c>
      <c r="G11" s="16">
        <f t="shared" si="0"/>
        <v>0.65214</v>
      </c>
      <c r="H11" s="18" t="s">
        <v>28</v>
      </c>
    </row>
    <row r="12" ht="16.5" spans="1:8">
      <c r="A12" s="13" t="s">
        <v>46</v>
      </c>
      <c r="B12" s="13" t="s">
        <v>47</v>
      </c>
      <c r="C12" s="14">
        <v>1</v>
      </c>
      <c r="D12" s="13" t="s">
        <v>47</v>
      </c>
      <c r="E12" s="13" t="s">
        <v>48</v>
      </c>
      <c r="F12" s="15">
        <v>0.81</v>
      </c>
      <c r="G12" s="16">
        <f t="shared" si="0"/>
        <v>0.81</v>
      </c>
      <c r="H12" s="18" t="s">
        <v>28</v>
      </c>
    </row>
    <row r="13" ht="49.5" spans="1:8">
      <c r="A13" s="13" t="s">
        <v>49</v>
      </c>
      <c r="B13" s="13" t="s">
        <v>50</v>
      </c>
      <c r="C13" s="14">
        <v>1</v>
      </c>
      <c r="D13" s="13" t="s">
        <v>51</v>
      </c>
      <c r="E13" s="13" t="s">
        <v>52</v>
      </c>
      <c r="F13" s="15">
        <v>1.8</v>
      </c>
      <c r="G13" s="16">
        <f t="shared" si="0"/>
        <v>1.8</v>
      </c>
      <c r="H13" s="18" t="s">
        <v>53</v>
      </c>
    </row>
    <row r="14" ht="49.5" spans="1:8">
      <c r="A14" s="13" t="s">
        <v>54</v>
      </c>
      <c r="B14" s="13" t="s">
        <v>55</v>
      </c>
      <c r="C14" s="14">
        <v>1</v>
      </c>
      <c r="D14" s="13" t="s">
        <v>56</v>
      </c>
      <c r="E14" s="13" t="s">
        <v>57</v>
      </c>
      <c r="F14" s="15">
        <v>1.5</v>
      </c>
      <c r="G14" s="16">
        <f t="shared" si="0"/>
        <v>1.5</v>
      </c>
      <c r="H14" s="18" t="s">
        <v>28</v>
      </c>
    </row>
    <row r="15" ht="49.5" spans="1:8">
      <c r="A15" s="13" t="s">
        <v>58</v>
      </c>
      <c r="B15" s="13" t="s">
        <v>59</v>
      </c>
      <c r="C15" s="14">
        <v>1</v>
      </c>
      <c r="D15" s="13" t="s">
        <v>60</v>
      </c>
      <c r="E15" s="13" t="s">
        <v>61</v>
      </c>
      <c r="F15" s="15">
        <v>0.17</v>
      </c>
      <c r="G15" s="16">
        <f t="shared" si="0"/>
        <v>0.17</v>
      </c>
      <c r="H15" s="18" t="s">
        <v>62</v>
      </c>
    </row>
    <row r="16" ht="33" spans="1:8">
      <c r="A16" s="13" t="s">
        <v>63</v>
      </c>
      <c r="B16" s="13" t="s">
        <v>64</v>
      </c>
      <c r="C16" s="14">
        <v>1</v>
      </c>
      <c r="D16" s="13" t="s">
        <v>65</v>
      </c>
      <c r="E16" s="13" t="s">
        <v>66</v>
      </c>
      <c r="F16" s="15">
        <v>1.76</v>
      </c>
      <c r="G16" s="16">
        <f t="shared" si="0"/>
        <v>1.76</v>
      </c>
      <c r="H16" s="18" t="s">
        <v>67</v>
      </c>
    </row>
    <row r="17" ht="33" spans="1:8">
      <c r="A17" s="13" t="s">
        <v>68</v>
      </c>
      <c r="B17" s="13" t="s">
        <v>69</v>
      </c>
      <c r="C17" s="14">
        <v>4</v>
      </c>
      <c r="D17" s="13" t="s">
        <v>70</v>
      </c>
      <c r="E17" s="13" t="s">
        <v>71</v>
      </c>
      <c r="F17" s="15">
        <v>1.04247</v>
      </c>
      <c r="G17" s="16">
        <f t="shared" si="0"/>
        <v>4.16988</v>
      </c>
      <c r="H17" s="18" t="s">
        <v>28</v>
      </c>
    </row>
    <row r="18" ht="16.5" spans="1:8">
      <c r="A18" s="13" t="s">
        <v>72</v>
      </c>
      <c r="B18" s="32" t="s">
        <v>9</v>
      </c>
      <c r="C18" s="14">
        <v>4</v>
      </c>
      <c r="D18" s="13" t="s">
        <v>73</v>
      </c>
      <c r="E18" s="13" t="s">
        <v>74</v>
      </c>
      <c r="F18" s="15">
        <f>0.88/50</f>
        <v>0.0176</v>
      </c>
      <c r="G18" s="16">
        <f t="shared" si="0"/>
        <v>0.0704</v>
      </c>
      <c r="H18" s="19" t="s">
        <v>75</v>
      </c>
    </row>
    <row r="19" ht="16.5" spans="1:8">
      <c r="A19" s="13" t="s">
        <v>76</v>
      </c>
      <c r="B19" s="32" t="s">
        <v>21</v>
      </c>
      <c r="C19" s="14">
        <v>4</v>
      </c>
      <c r="D19" s="13" t="s">
        <v>77</v>
      </c>
      <c r="E19" s="13" t="s">
        <v>78</v>
      </c>
      <c r="F19" s="15">
        <f t="shared" ref="F18:F20" si="1">0.66/50</f>
        <v>0.0132</v>
      </c>
      <c r="G19" s="16">
        <f t="shared" si="0"/>
        <v>0.0528</v>
      </c>
      <c r="H19" s="20" t="s">
        <v>79</v>
      </c>
    </row>
    <row r="20" ht="16.5" spans="1:8">
      <c r="A20" s="13" t="s">
        <v>80</v>
      </c>
      <c r="B20" s="32" t="s">
        <v>21</v>
      </c>
      <c r="C20" s="14">
        <v>1</v>
      </c>
      <c r="D20" s="13" t="s">
        <v>81</v>
      </c>
      <c r="E20" s="13" t="s">
        <v>82</v>
      </c>
      <c r="F20" s="15">
        <f t="shared" si="1"/>
        <v>0.0132</v>
      </c>
      <c r="G20" s="16">
        <f t="shared" si="0"/>
        <v>0.0132</v>
      </c>
      <c r="H20" s="20" t="s">
        <v>79</v>
      </c>
    </row>
    <row r="21" ht="16.5" spans="1:8">
      <c r="A21" s="8" t="s">
        <v>83</v>
      </c>
      <c r="B21" s="31" t="s">
        <v>21</v>
      </c>
      <c r="C21" s="9">
        <v>1</v>
      </c>
      <c r="D21" s="8" t="s">
        <v>10</v>
      </c>
      <c r="E21" s="9"/>
      <c r="F21" s="10"/>
      <c r="G21" s="11">
        <f t="shared" si="0"/>
        <v>0</v>
      </c>
      <c r="H21" s="21"/>
    </row>
    <row r="22" ht="16.5" spans="1:8">
      <c r="A22" s="13" t="s">
        <v>84</v>
      </c>
      <c r="B22" s="32" t="s">
        <v>21</v>
      </c>
      <c r="C22" s="14">
        <v>1</v>
      </c>
      <c r="D22" s="13" t="s">
        <v>85</v>
      </c>
      <c r="E22" s="13" t="s">
        <v>86</v>
      </c>
      <c r="F22" s="15">
        <f t="shared" ref="F22:F24" si="2">0.66/50</f>
        <v>0.0132</v>
      </c>
      <c r="G22" s="16">
        <f t="shared" si="0"/>
        <v>0.0132</v>
      </c>
      <c r="H22" s="20" t="s">
        <v>79</v>
      </c>
    </row>
    <row r="23" ht="16.5" spans="1:8">
      <c r="A23" s="13" t="s">
        <v>87</v>
      </c>
      <c r="B23" s="32" t="s">
        <v>21</v>
      </c>
      <c r="C23" s="14">
        <v>1</v>
      </c>
      <c r="D23" s="13" t="s">
        <v>88</v>
      </c>
      <c r="E23" s="13" t="s">
        <v>89</v>
      </c>
      <c r="F23" s="15">
        <f t="shared" si="2"/>
        <v>0.0132</v>
      </c>
      <c r="G23" s="16">
        <f t="shared" si="0"/>
        <v>0.0132</v>
      </c>
      <c r="H23" s="20" t="s">
        <v>79</v>
      </c>
    </row>
    <row r="24" ht="16.5" spans="1:8">
      <c r="A24" s="13" t="s">
        <v>90</v>
      </c>
      <c r="B24" s="32" t="s">
        <v>21</v>
      </c>
      <c r="C24" s="14">
        <v>1</v>
      </c>
      <c r="D24" s="13" t="s">
        <v>91</v>
      </c>
      <c r="E24" s="13" t="s">
        <v>92</v>
      </c>
      <c r="F24" s="15">
        <f t="shared" si="2"/>
        <v>0.0132</v>
      </c>
      <c r="G24" s="16">
        <f t="shared" si="0"/>
        <v>0.0132</v>
      </c>
      <c r="H24" s="20" t="s">
        <v>79</v>
      </c>
    </row>
    <row r="25" ht="16.5" spans="1:8">
      <c r="A25" s="13" t="s">
        <v>93</v>
      </c>
      <c r="B25" s="32" t="s">
        <v>21</v>
      </c>
      <c r="C25" s="14">
        <v>4</v>
      </c>
      <c r="D25" s="13" t="s">
        <v>94</v>
      </c>
      <c r="E25" s="13" t="s">
        <v>95</v>
      </c>
      <c r="F25" s="15">
        <f>0.66/50</f>
        <v>0.0132</v>
      </c>
      <c r="G25" s="16">
        <f t="shared" si="0"/>
        <v>0.0528</v>
      </c>
      <c r="H25" s="20" t="s">
        <v>79</v>
      </c>
    </row>
    <row r="26" ht="16.5" spans="1:8">
      <c r="A26" s="13" t="s">
        <v>96</v>
      </c>
      <c r="B26" s="14">
        <v>1206</v>
      </c>
      <c r="C26" s="14">
        <v>2</v>
      </c>
      <c r="D26" s="13" t="s">
        <v>97</v>
      </c>
      <c r="E26" s="13" t="s">
        <v>98</v>
      </c>
      <c r="F26" s="15">
        <f>2.42/10</f>
        <v>0.242</v>
      </c>
      <c r="G26" s="16">
        <f t="shared" si="0"/>
        <v>0.484</v>
      </c>
      <c r="H26" s="20" t="s">
        <v>99</v>
      </c>
    </row>
    <row r="27" ht="33" spans="1:8">
      <c r="A27" s="13" t="s">
        <v>100</v>
      </c>
      <c r="B27" s="13" t="s">
        <v>101</v>
      </c>
      <c r="C27" s="14">
        <v>1</v>
      </c>
      <c r="D27" s="13" t="s">
        <v>102</v>
      </c>
      <c r="E27" s="14" t="s">
        <v>103</v>
      </c>
      <c r="F27" s="15">
        <v>0.49</v>
      </c>
      <c r="G27" s="16">
        <f t="shared" si="0"/>
        <v>0.49</v>
      </c>
      <c r="H27" s="20" t="s">
        <v>104</v>
      </c>
    </row>
    <row r="28" ht="33" spans="1:8">
      <c r="A28" s="13" t="s">
        <v>105</v>
      </c>
      <c r="B28" s="13" t="s">
        <v>101</v>
      </c>
      <c r="C28" s="14">
        <v>1</v>
      </c>
      <c r="D28" s="13" t="s">
        <v>106</v>
      </c>
      <c r="E28" s="14" t="s">
        <v>107</v>
      </c>
      <c r="F28" s="15">
        <v>0.49</v>
      </c>
      <c r="G28" s="16">
        <f t="shared" si="0"/>
        <v>0.49</v>
      </c>
      <c r="H28" s="20" t="s">
        <v>104</v>
      </c>
    </row>
    <row r="29" ht="49.5" spans="1:8">
      <c r="A29" s="13" t="s">
        <v>108</v>
      </c>
      <c r="B29" s="13" t="s">
        <v>109</v>
      </c>
      <c r="C29" s="14">
        <v>1</v>
      </c>
      <c r="D29" s="13" t="s">
        <v>110</v>
      </c>
      <c r="E29" s="14" t="s">
        <v>111</v>
      </c>
      <c r="F29" s="15">
        <v>9.06</v>
      </c>
      <c r="G29" s="16">
        <f t="shared" si="0"/>
        <v>9.06</v>
      </c>
      <c r="H29" s="20" t="s">
        <v>112</v>
      </c>
    </row>
    <row r="30" ht="33" spans="1:8">
      <c r="A30" s="13" t="s">
        <v>113</v>
      </c>
      <c r="B30" s="13" t="s">
        <v>114</v>
      </c>
      <c r="C30" s="14">
        <v>1</v>
      </c>
      <c r="D30" s="13" t="s">
        <v>115</v>
      </c>
      <c r="E30" s="14" t="s">
        <v>116</v>
      </c>
      <c r="F30" s="15">
        <v>1.15</v>
      </c>
      <c r="G30" s="16">
        <f t="shared" si="0"/>
        <v>1.15</v>
      </c>
      <c r="H30" s="19" t="s">
        <v>117</v>
      </c>
    </row>
    <row r="31" ht="16.5" spans="1:8">
      <c r="A31" s="22"/>
      <c r="B31" s="22"/>
      <c r="C31" s="22"/>
      <c r="D31" s="22"/>
      <c r="E31" s="22"/>
      <c r="F31" s="23" t="s">
        <v>118</v>
      </c>
      <c r="G31" s="16">
        <f>SUM(G2:G30)</f>
        <v>30.00722</v>
      </c>
      <c r="H31" s="24"/>
    </row>
    <row r="32" ht="16.5" spans="1:8">
      <c r="E32" s="22"/>
      <c r="F32" s="25" t="s">
        <v>6</v>
      </c>
      <c r="G32" s="26">
        <f>SUM(G31,G34)</f>
        <v>37.00722</v>
      </c>
      <c r="H32" s="27"/>
    </row>
    <row r="33" ht="16.5" spans="5:8">
      <c r="E33" s="22"/>
      <c r="F33" s="28"/>
      <c r="G33" s="29"/>
      <c r="H33" s="27"/>
    </row>
    <row r="34" ht="16.5" spans="5:8">
      <c r="E34" s="13" t="s">
        <v>119</v>
      </c>
      <c r="F34" s="30"/>
      <c r="G34" s="16">
        <v>7</v>
      </c>
      <c r="H34" s="20" t="s">
        <v>120</v>
      </c>
    </row>
    <row r="35" ht="16.5" spans="5:8">
      <c r="E35" s="13" t="s">
        <v>121</v>
      </c>
      <c r="F35" s="30"/>
      <c r="G35" s="16"/>
      <c r="H35" s="19" t="s">
        <v>122</v>
      </c>
    </row>
    <row r="36" ht="16.5" spans="5:8">
      <c r="E36" s="13" t="s">
        <v>123</v>
      </c>
      <c r="F36" s="30"/>
      <c r="G36" s="16"/>
      <c r="H36" s="27"/>
    </row>
    <row r="37" ht="16.5" spans="5:8">
      <c r="E37" s="14" t="s">
        <v>124</v>
      </c>
      <c r="F37" s="30"/>
      <c r="G37" s="16"/>
      <c r="H37" s="27"/>
    </row>
    <row r="38" ht="16.5" spans="5:8">
      <c r="E38" s="22"/>
      <c r="F38" s="28"/>
      <c r="G38" s="29"/>
    </row>
    <row r="39" ht="16.5" spans="5:8">
      <c r="E39" s="22"/>
      <c r="F39" s="28"/>
      <c r="G39" s="29"/>
    </row>
    <row r="40" ht="16.5" spans="5:8">
      <c r="E40" s="22"/>
      <c r="F40" s="28"/>
      <c r="G40" s="29"/>
    </row>
    <row r="41" ht="16.5" spans="5:8">
      <c r="E41" s="22"/>
      <c r="F41" s="28"/>
      <c r="G41" s="29"/>
    </row>
  </sheetData>
  <hyperlinks>
    <hyperlink ref="H3" r:id="rId1" display="https://s.click.taobao.com/t?e=m%3D2%26s%3DFc2%2BoSDpx6pw4vFB6t2Z2ueEDrYVVa64g3vZOarmkFi53hKxp7mNFl906SyIHsHUtMu0TF%2FHgSz0JlhLk0Jl4QTquP0kWxBLBDnvz6xo38xspWc9%2BCL4bTGF1ceZMhPo8mL8HhJ3EdVrH4ks4QyiY4z4rjZDGVMAhscfsB2%2FyzZJq71CBMBeP%2F1SarTXhIOTUdDn0Cj7EhOCIO0qHfvVlTk8GWePDnIgfrzqX5bdxnx6Vj3eaHUEAmAnqKPEdxxHVg6%2BOZNPXfs8jcab8WUvP5GZ9wPRcXV%2BQ%2FMlsmagC3Rp5%2BTNCwH3SzcZvJyDvNRYxiXvDf8DaRs%3D&amp;union_lens=lensId%3APUB%401771260731%402133c6d2_0ecd_19c675de1fc_6800%40023Jazg20QANIAbLlUpGANn8%40eyJmbG9vcklkIjo4MDY3NCwiic3BtQiiI6Il9wb3J0YWxfdjJfcGFnZXNfcHJvbW9fZ29vZHNfaW5kZXhfaHRtIiiwiic3JjRmxvb3JJZCI6IjgwNjc0In0ie%3BtkScm%3AselectionPlaza_site_4358_0_0_0_1_1771260731920114794199" tooltip="https://s.click.taobao.com/t?e=m%3D2%26s%3DFc2%2BoSDpx6pw4vFB6t2Z2ueEDrYVVa64g3vZOarmkFi53hKxp7mNFl906SyIHsHUtMu0TF%2FHgSz0JlhLk0Jl4QTquP0kWxBLBDnvz6xo38xspWc9%2BCL4bTGF1ceZMhPo8mL8HhJ3EdVrH4ks4QyiY4z4rjZDGVMAhscfsB2%2FyzZJq71CBMBeP%2F1SarTXhIOTUdDn0Cj7Eh"/>
    <hyperlink ref="H4" r:id="rId2" display="https://s.click.taobao.com/t?e=m%3D2%26s%3DHR%2Bo%2FAiMNEhw4vFB6t2Z2ueEDrYVVa64g3vZOarmkFi53hKxp7mNFl906SyIHsHUV%2FIRtdibapD0JlhLk0Jl4QTquP0kWxBLBDnvz6xo38xspWc9%2BCL4bTGF1ceZMhPo8mL8HhJ3EdVrH4ks4QyiY4z4rjZDGVMAhscfsB2%2FyzZJq71CBMBeP%2F1SarTXhIOTUdDn0Cj7EhMn6oAoaCXUe1NlZE%2Ff31o3lrJ189UUjx9hjVoP77dyoSQBpIRREvIlFgWR3%2BaFIUfPdRNwMdZKqHB6Jd9pUfrR1KilmKsn0wzMpM7Jc6ympoWyqnRltvROxg5p7bh%2BFbQ%3D&amp;union_lens=lensId%3APUB%401771260968%40213e41d0_0e17_19c67617fbb_8053%40024a1aY3WVVufXXx2r3ZAon0%40eyJmbG9vcklkIjo4MDY3NCwiic3BtQiiI6Il9wb3J0YWxfdjJfcGFnZXNfcHJvbW9fZ29vZHNfaW5kZXhfaHRtIiiwiic3JjRmxvb3JJZCI6IjgwNjc0In0ie%3BtkScm%3AselectionPlaza_site_4358_0_0_0_1_1771260968910114794199" tooltip="https://s.click.taobao.com/t?e=m%3D2%26s%3DHR%2Bo%2FAiMNEhw4vFB6t2Z2ueEDrYVVa64g3vZOarmkFi53hKxp7mNFl906SyIHsHUV%2FIRtdibapD0JlhLk0Jl4QTquP0kWxBLBDnvz6xo38xspWc9%2BCL4bTGF1ceZMhPo8mL8HhJ3EdVrH4ks4QyiY4z4rjZDGVMAhscfsB2%2FyzZJq71CBMBeP%2F1SarTXhIOTUdDn0Cj7"/>
    <hyperlink ref="H5" r:id="rId3" display="https://s.click.taobao.com/t?e=m%3D2%26s%3DsKl9WbKqhDBw4vFB6t2Z2ueEDrYVVa64g3vZOarmkFi53hKxp7mNFl906SyIHsHUzKH6MfjZ0yb0JlhLk0Jl4QTquP0kWxBLBDnvz6xo38xspWc9%2BCL4bTGF1ceZMhPo8mL8HhJ3EdVrH4ks4QyiY4z4rjZDGVMAhscfsB2%2FyzZJq71CBMBeP%2F1SarTXhIOTUdDn0Cj7EhPLjzujEnSGRMepZQL7mLq6UpHvvC8uLB6zNUK14DNy3yBz4dsHc5XHT%2Fn79VEHAyP%2F%2BAAA%2Bf9Z2pGZ9wPRcXV%2BQ%2FMlsmagC3SaWdFjx434GtxsimekgtT1xiXvDf8DaRs%3D&amp;union_lens=lensId%3APUB%401771261183%4021672dee_1db4_19c6764c655_4e80%40026YViwrGqiQPCLGx44fk1ov%40eyJmbG9vcklkIjo4MDY3NCwiic3BtQiiI6Il9wb3J0YWxfdjJfcGFnZXNfcHJvbW9fZ29vZHNfaW5kZXhfaHRtIiiwiic3JjRmxvb3JJZCI6IjgwNjc0In0ie%3BtkScm%3AselectionPlaza_site_4358_0_0_0_1_1771261183599114794199" tooltip="https://s.click.taobao.com/t?e=m%3D2%26s%3DsKl9WbKqhDBw4vFB6t2Z2ueEDrYVVa64g3vZOarmkFi53hKxp7mNFl906SyIHsHUzKH6MfjZ0yb0JlhLk0Jl4QTquP0kWxBLBDnvz6xo38xspWc9%2BCL4bTGF1ceZMhPo8mL8HhJ3EdVrH4ks4QyiY4z4rjZDGVMAhscfsB2%2FyzZJq71CBMBeP%2F1SarTXhIOTUdDn0Cj7EhPLjz"/>
    <hyperlink ref="H7" r:id="rId3" display="https://s.click.taobao.com/t?e=m%3D2%26s%3DsKl9WbKqhDBw4vFB6t2Z2ueEDrYVVa64g3vZOarmkFi53hKxp7mNFl906SyIHsHUzKH6MfjZ0yb0JlhLk0Jl4QTquP0kWxBLBDnvz6xo38xspWc9%2BCL4bTGF1ceZMhPo8mL8HhJ3EdVrH4ks4QyiY4z4rjZDGVMAhscfsB2%2FyzZJq71CBMBeP%2F1SarTXhIOTUdDn0Cj7EhPLjzujEnSGRMepZQL7mLq6UpHvvC8uLB6zNUK14DNy3yBz4dsHc5XHT%2Fn79VEHAyP%2F%2BAAA%2Bf9Z2pGZ9wPRcXV%2BQ%2FMlsmagC3SaWdFjx434GtxsimekgtT1xiXvDf8DaRs%3D&amp;union_lens=lensId%3APUB%401771261183%4021672dee_1db4_19c6764c655_4e80%40026YViwrGqiQPCLGx44fk1ov%40eyJmbG9vcklkIjo4MDY3NCwiic3BtQiiI6Il9wb3J0YWxfdjJfcGFnZXNfcHJvbW9fZ29vZHNfaW5kZXhfaHRtIiiwiic3JjRmxvb3JJZCI6IjgwNjc0In0ie%3BtkScm%3AselectionPlaza_site_4358_0_0_0_1_1771261183599114794199"/>
    <hyperlink ref="H9" r:id="rId3" display="https://s.click.taobao.com/t?e=m%3D2%26s%3DsKl9WbKqhDBw4vFB6t2Z2ueEDrYVVa64g3vZOarmkFi53hKxp7mNFl906SyIHsHUzKH6MfjZ0yb0JlhLk0Jl4QTquP0kWxBLBDnvz6xo38xspWc9%2BCL4bTGF1ceZMhPo8mL8HhJ3EdVrH4ks4QyiY4z4rjZDGVMAhscfsB2%2FyzZJq71CBMBeP%2F1SarTXhIOTUdDn0Cj7EhPLjzujEnSGRMepZQL7mLq6UpHvvC8uLB6zNUK14DNy3yBz4dsHc5XHT%2Fn79VEHAyP%2F%2BAAA%2Bf9Z2pGZ9wPRcXV%2BQ%2FMlsmagC3SaWdFjx434GtxsimekgtT1xiXvDf8DaRs%3D&amp;union_lens=lensId%3APUB%401771261183%4021672dee_1db4_19c6764c655_4e80%40026YViwrGqiQPCLGx44fk1ov%40eyJmbG9vcklkIjo4MDY3NCwiic3BtQiiI6Il9wb3J0YWxfdjJfcGFnZXNfcHJvbW9fZ29vZHNfaW5kZXhfaHRtIiiwiic3JjRmxvb3JJZCI6IjgwNjc0In0ie%3BtkScm%3AselectionPlaza_site_4358_0_0_0_1_1771261183599114794199"/>
    <hyperlink ref="H6" r:id="rId4" display="https://activity.szlcsc.com/invite/D03E5B9CEAAE70A4.html"/>
    <hyperlink ref="H8" r:id="rId4" display="https://activity.szlcsc.com/invite/D03E5B9CEAAE70A4.html"/>
    <hyperlink ref="H14" r:id="rId4" display="https://activity.szlcsc.com/invite/D03E5B9CEAAE70A4.html"/>
    <hyperlink ref="H12" r:id="rId4" display="https://activity.szlcsc.com/invite/D03E5B9CEAAE70A4.html" tooltip="https://activity.szlcsc.com/invite/D03E5B9CEAAE70A4.html"/>
    <hyperlink ref="H11" r:id="rId4" display="https://activity.szlcsc.com/invite/D03E5B9CEAAE70A4.html"/>
    <hyperlink ref="H10" r:id="rId5" display="https://s.click.taobao.com/t?e=m%3D2%26s%3DyaAa0gmyoIxw4vFB6t2Z2ueEDrYVVa64g3vZOarmkFi53hKxp7mNFl906SyIHsHUKCLlGttSfJD0JlhLk0Jl4QTquP0kWxBLBDnvz6xo38xspWc9%2BCL4bTGF1ceZMhPo8mL8HhJ3EdVrH4ks4QyiY4z4rjZDGVMAhscfsB2%2FyzZJq71CBMBeP%2F1SarTXhIOTUdDn0Cj7EhP013l4yagV1HGMfIbeFozGqH6QxayBHksPSQffE%2BcOe%2BYWp%2BocVrjLdArmuMWQp2E3QFmWALGYTXB6Jd9pUfrR1KilmKsn0wwIBKn4wJltlGQ9uwaULrmUxg5p7bh%2BFbQ%3D&amp;union_lens=lensId%3APUB%401771264105%40212b577d_3f19_19c67915d12_6f7d%40024aMGTlAazUtYg4nY5M8GBT%40eyJmbG9vcklkIjo4MDY3NCwiic3BtQiiI6Il9wb3J0YWxfdjJfcGFnZXNfcHJvbW9fZ29vZHNfaW5kZXhfaHRtIiiwiic3JjRmxvb3JJZCI6IjgwNjc0In0ie%3BtkScm%3AselectionPlaza_site_4358_0_0_0_1_1771264105767114794199"/>
    <hyperlink ref="H13" r:id="rId6" display="https://s.click.taobao.com/t?e=m%3D2%26s%3DL8r5aSlkSwlw4vFB6t2Z2ueEDrYVVa64g3vZOarmkFi53hKxp7mNFl906SyIHsHU0PheBwIru6b0JlhLk0Jl4QTquP0kWxBLBDnvz6xo38xspWc9%2BCL4bTGF1ceZMhPo8mL8HhJ3EdVrH4ks4QyiY4z4rjZDGVMAhscfsB2%2FyzZJq71CBMBeP%2F1SarTXhIOTUdDn0Cj7EhNfc0vnFO6LLsq%2BI2SVIdiUARV%2FSW5JE2ddhTmdPRQX3jA6sTPqFj6IUoWFeWM61c0iBQOvTtHI9pGZ9wPRcXV%2BQ%2FMlsmagC3RsF3OLf8ax65%2B1H%2F0QgaPYxiXvDf8DaRs%3D&amp;union_lens=lensId%3APUB%401771264135%402133dd9e_1cb4_19c6791d177_1628%40024FHiFLrZ3r5Zi6MVJLWWZq%40eyJmbG9vcklkIjo4MDY3NCwiic3BtQiiI6Il9wb3J0YWxfdjJfcGFnZXNfcHJvbW9fZ29vZHNfaW5kZXhfaHRtIiiwiic3JjRmxvb3JJZCI6IjgwNjc0In0ie%3BtkScm%3AselectionPlaza_site_4358_0_0_0_1_1771264135564114794199"/>
    <hyperlink ref="H15" r:id="rId7" display="https://s.click.taobao.com/t?e=m%3D2%26s%3D1jNVXOYEf%2F5w4vFB6t2Z2ueEDrYVVa64g3vZOarmkFi53hKxp7mNFl906SyIHsHUTKnqFD0fo%2B70JlhLk0Jl4QTquP0kWxBLBDnvz6xo38xspWc9%2BCL4bTGF1ceZMhPo8mL8HhJ3EdVrH4ks4QyiY4z4rjZDGVMAhscfsB2%2FyzZJq71CBMBeP%2F1SarTXhIOTUdDn0Cj7EhMettJH%2BUPdwbdlFV3rRtzRvXWYFl3%2Fo3v%2FGHy2xQQc3%2BJT3YB2n7FbSYwaDUWQFnvEwYxHRBzpmnB6Jd9pUfrR1KilmKsn0wxcwxwJWth4WJP8wu00cX8yxg5p7bh%2BFbQ%3D&amp;union_lens=lensId%3APUB%401771264182%40214697b6_0e27_19c67928a8a_5179%40023ijm5gjlvViPQE6oMHHlr4%40eyJmbG9vcklkIjo4MDY3NCwiic3BtQiiI6Il9wb3J0YWxfdjJfcGFnZXNfcHJvbW9fZ29vZHNfaW5kZXhfaHRtIiiwiic3JjRmxvb3JJZCI6IjgwNjc0In0ie%3BtkScm%3AselectionPlaza_site_4358_0_0_0_1_1771264182943114794199"/>
    <hyperlink ref="H16" r:id="rId8" display="https://s.click.taobao.com/t?e=m%3D2%26s%3DABa9CzglPcRw4vFB6t2Z2ueEDrYVVa64g3vZOarmkFi53hKxp7mNFl906SyIHsHU2wKQZbTCRVv0JlhLk0Jl4QTquP0kWxBLBDnvz6xo38xspWc9%2BCL4bTGF1ceZMhPo8mL8HhJ3EdVrH4ks4QyiY4z4rjZDGVMAhscfsB2%2FyzZJq71CBMBeP%2F1SarTXhIOTUdDn0Cj7EhPBWyuXbRLR7ibHaTKswN8dZU%2BkfvE0uuu1oRcfSV1uWtsUaFx9bUN6m16hVTMlxTdr0u6UAIM2GZGZ9wPRcXV%2BQ%2FMlsmagC3TCsh6p7xpDun59iPR0uCjOxiXvDf8DaRs%3D&amp;union_lens=lensId%3APUB%401771264247%40213e4197_1c20_19c67938544_cdd6%40026ocGEHzOy2r1gAbnBYP0DQ%40eyJmbG9vcklkIjo4MDY3NCwiic3BtQiiI6Il9wb3J0YWxfdjJfcGFnZXNfcHJvbW9fZ29vZHNfaW5kZXhfaHRtIiiwiic3JjRmxvb3JJZCI6IjgwNjc0In0ie%3BtkScm%3AselectionPlaza_site_4358_0_0_0_1_1771264247126114794199"/>
    <hyperlink ref="H17" r:id="rId4" display="https://activity.szlcsc.com/invite/D03E5B9CEAAE70A4.html"/>
    <hyperlink ref="H19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0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2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3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4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5" r:id="rId9" display="https://s.click.taobao.com/t?e=m%3D2%26s%3D%2BQAFD3zUqR1w4vFB6t2Z2ueEDrYVVa64g3vZOarmkFi53hKxp7mNFl906SyIHsHULGWqlq8neVb0JlhLk0Jl4QTquP0kWxBLBDnvz6xo38xspWc9%2BCL4bTGF1ceZMhPo8mL8HhJ3EdVrH4ks4QyiY4z4rjZDGVMAhscfsB2%2FyzZJq71CBMBeP%2F1SarTXhIOTUdDn0Cj7EhM6%2Fdm0YbGDtm35Txmrjuaw3tAeTvy6L9Lc6mQIrEuMBfbsuuzjMN3dG8w4L0HEc9CTSqV%2Fo%2F6pRZGZ9wPRcXV%2BQ%2FMlsmagC3SeQDfcgXYCS%2FBi%2FXkz1IeUxiXvDf8DaRs%3D&amp;union_lens=lensId%3APUB%401771264444%40212b623e_0e97_19c679686e9_de3d%40024eu6HnVBwMbdDmcQCNNQGQ%40eyJmbG9vcklkIjo4MDY3NCwiic3BtQiiI6Il9wb3J0YWxfdjJfcGFnZXNfcHJvbW9fZ29vZHNfaW5kZXhfaHRtIiiwiic3JjRmxvb3JJZCI6IjgwNjc0In0ie%3BtkScm%3AselectionPlaza_site_4358_0_0_0_1_1771264444161114794199"/>
    <hyperlink ref="H26" r:id="rId10" display="https://s.click.taobao.com/t?e=m%3D2%26s%3Do7mNRwhHvQ5w4vFB6t2Z2ueEDrYVVa64g3vZOarmkFi53hKxp7mNFl906SyIHsHUL%2B3EHxzZUO30JlhLk0Jl4QTquP0kWxBLBDnvz6xo38xspWc9%2BCL4bTGF1ceZMhPo8mL8HhJ3EdVrH4ks4QyiY4z4rjZDGVMAhscfsB2%2FyzZJq71CBMBeP%2F1SarTXhIOTUdDn0Cj7EhOPHcS4ffjVsP12OFl%2BiNz5kC%2BQhk2y3DUv7Ga3OtGWz6nYwy3s1GykG5b75amyFquNPtJl%2FL2EanB6Jd9pUfrR1KilmKsn0wybSfMsptXDniR4aD2k9Lmwxg5p7bh%2BFbQ%3D&amp;union_lens=lensId%3APUB%401771264766%40212b0472_0ec3_19c679b717f_d32a%40024XaBWZ2ptphTAfhJFO4OKP%40eyJmbG9vcklkIjo4MDY3NCwiic3BtQiiI6Il9wb3J0YWxfdjJfcGFnZXNfcHJvbW9fZ29vZHNfaW5kZXhfaHRtIiiwiic3JjRmxvb3JJZCI6IjgwNjc0In0ie%3BtkScm%3AselectionPlaza_site_4358_0_0_0_1_1771264766359114794199"/>
    <hyperlink ref="H18" r:id="rId11" display="https://s.click.taobao.com/t?e=m%3D2%26s%3DSqphNGSpjLVw4vFB6t2Z2ueEDrYVVa64g3vZOarmkFi53hKxp7mNFl906SyIHsHUOGMfRkxr98P0JlhLk0Jl4QTquP0kWxBLBDnvz6xo38xspWc9%2BCL4bTGF1ceZMhPo8mL8HhJ3EdVrH4ks4QyiY4z4rjZDGVMAhscfsB2%2FyzZJq71CBMBeP%2F1SarTXhIOTUdDn0Cj7EhOuPZnzB%2BlpK8cpwswKt9LOXrGU3kUcUyRbVN4a56%2BfL8%2BCIRzE3sHUJbBHzi1gKt8m%2FOKUw789HZGZ9wPRcXV%2BQ%2FMlsmagC3RoJyoNzWYDyDPZy8NSAX%2BsxiXvDf8DaRs%3D&amp;union_lens=lensId%3APUB%401771264828%40213e418c_1cb2_19c679c631d_69d3%4002Oz9BVpJAzZzCEW4K2Ebys%40eyJmbG9vcklkIjo4MDY3NCwiic3BtQiiI6Il9wb3J0YWxfdjJfcGFnZXNfcHJvbW9fZ29vZHNfaW5kZXhfaHRtIiiwiic3JjRmxvb3JJZCI6IjgwNjc0In0ie%3BtkScm%3AselectionPlaza_site_4358_0_0_0_1_1771264828212114794199"/>
    <hyperlink ref="H27" r:id="rId12" display="https://s.click.taobao.com/t?e=m%3D2%26s%3DCIwL%2F%2BMzhu5w4vFB6t2Z2ueEDrYVVa64g3vZOarmkFi53hKxp7mNFl906SyIHsHUumGtj3MIvvj0JlhLk0Jl4QTquP0kWxBLBDnvz6xo38xspWc9%2BCL4bTGF1ceZMhPo8mL8HhJ3EdVrH4ks4QyiY4z4rjZDGVMAhscfsB2%2FyzZJq71CBMBeP%2F1SarTXhIOTUdDn0Cj7EhP1WEBNQFaXlFYOjMd%2FSpMoZ85WTsGxYuv0ZByIuAO4gdsUaFx9bUN6OrgyVNm6Wwdeth6i%2FdSkupGZ9wPRcXV%2BQ%2FMlsmagC3QlDWbruDlNvy6e96JgP6unxiXvDf8DaRs%3D&amp;union_lens=lensId%3APUB%401771264951%402166a41c_0ed6_19c679e43f7_be72%40025gymgY2kelML74H5Tf1NUq%40eyJmbG9vcklkIjo4MDY3NCwiic3BtQiiI6Il9wb3J0YWxfdjJfcGFnZXNfcHJvbW9fZ29vZHNfaW5kZXhfaHRtIiiwiic3JjRmxvb3JJZCI6IjgwNjc0In0ie%3BtkScm%3AselectionPlaza_site_4358_0_0_0_1_1771264951310114794199"/>
    <hyperlink ref="H28" r:id="rId12" display="https://s.click.taobao.com/t?e=m%3D2%26s%3DCIwL%2F%2BMzhu5w4vFB6t2Z2ueEDrYVVa64g3vZOarmkFi53hKxp7mNFl906SyIHsHUumGtj3MIvvj0JlhLk0Jl4QTquP0kWxBLBDnvz6xo38xspWc9%2BCL4bTGF1ceZMhPo8mL8HhJ3EdVrH4ks4QyiY4z4rjZDGVMAhscfsB2%2FyzZJq71CBMBeP%2F1SarTXhIOTUdDn0Cj7EhP1WEBNQFaXlFYOjMd%2FSpMoZ85WTsGxYuv0ZByIuAO4gdsUaFx9bUN6OrgyVNm6Wwdeth6i%2FdSkupGZ9wPRcXV%2BQ%2FMlsmagC3QlDWbruDlNvy6e96JgP6unxiXvDf8DaRs%3D&amp;union_lens=lensId%3APUB%401771264951%402166a41c_0ed6_19c679e43f7_be72%40025gymgY2kelML74H5Tf1NUq%40eyJmbG9vcklkIjo4MDY3NCwiic3BtQiiI6Il9wb3J0YWxfdjJfcGFnZXNfcHJvbW9fZ29vZHNfaW5kZXhfaHRtIiiwiic3JjRmxvb3JJZCI6IjgwNjc0In0ie%3BtkScm%3AselectionPlaza_site_4358_0_0_0_1_1771264951310114794199"/>
    <hyperlink ref="H29" r:id="rId13" display="https://s.click.taobao.com/t?e=m%3D2%26s%3Dan%2BB5uFwMq5w4vFB6t2Z2ueEDrYVVa64g3vZOarmkFi53hKxp7mNFl906SyIHsHU%2FGOuQUKjRCn0JlhLk0Jl4QTquP0kWxBLBDnvz6xo38xspWc9%2BCL4bTGF1ceZMhPo8mL8HhJ3EdVrH4ks4QyiY4z4rjZDGVMA2vu%2FJqG6bwUQWXJG1MRh8f1SarTXhIOTUdDn0Cj7EhN2Pl4o2Y2Q7tJf485wYdp4tbgROqUtmY2L%2Fk5DH%2FtI32B2jur%2Bt0%2B9TVZwku43jIQvWx4sd9rcP4%2BDKwFLEd9Q5dUsQ8NYvbgJnLVVdjsyYG0JqmWJ22%2FbcSpj5qSCmbA%3D&amp;union_lens=lensId%3APUB%401771265001%402166a41c_0ed6_19c679f08ef_6e74%40026n9ySuNgF9FfhEzWcaR889%40eyJmbG9vcklkIjo4MDY3NCwiic3BtQiiI6Il9wb3J0YWxfdjJfcGFnZXNfcHJvbW9fZ29vZHNfaW5kZXhfaHRtIiiwiic3JjRmxvb3JJZCI6IjgwNjc0In0ie%3BtkScm%3AselectionPlaza_site_4358_0_0_0_1_1771265001782114794199%3Bscm%3A1007.30148.329090.pub_search-item_a47d5fba-fd16-4c9a-8785-b33c8c97ce96_"/>
    <hyperlink ref="H30" r:id="rId14" display="https://s.click.taobao.com/t?e=m%3D2%26s%3DyD%2FA1DdmCjNw4vFB6t2Z2ueEDrYVVa64g3vZOarmkFi53hKxp7mNFl906SyIHsHUGmz5ATPQ0pD0JlhLk0Jl4QTquP0kWxBLBDnvz6xo38xspWc9%2BCL4bTGF1ceZMhPo8mL8HhJ3EdVrH4ks4QyiY4z4rjZDGVMAht8nlRRvULigFd2iucECtf1SarTXhIOTUdDn0Cj7EhOyJZiXO%2Bx1axHEUTRcxtrulKF4XZI%2BrojAbVBpiseDXUj8d4RCfMNnRzfMUMtwh10UB5HbJKSrS4%2BDKwFLEd9Q5dUsQ8NYvbhGSbzBYf7XDC1aEBqiGdF6IYULNg46oBA%3D&amp;union_lens=lensId%3APUB%401771265083%40212b60df_1c16_19c67a04825_44de%40025k8XLZBjxkDjDyOBj8G4dP%40eyJmbG9vcklkIjo4MDY3NCwiic3BtQiiI6Il9wb3J0YWxfdjJfcGFnZXNfcHJvbW9fZ29vZHNfaW5kZXhfaHRtIiiwiic3JjRmxvb3JJZCI6IjgwNjc0In0ie%3BtkScm%3AselectionPlaza_site_4358_0_0_0_2_1771265083483114794199%3Bscm%3A1007.30148.329090.pub_search-item_801e7efd-df15-4aca-b4fb-0f2e48aa6559_"/>
    <hyperlink ref="H34" r:id="rId15" display="https://s.click.taobao.com/t?e=m%3D2%26s%3Dm7ppRc7pyjxw4vFB6t2Z2ueEDrYVVa64g3vZOarmkFi53hKxp7mNFl906SyIHsHUgisT5LkN2Vf0JlhLk0Jl4QTquP0kWxBLBDnvz6xo38xspWc9%2BCL4bTGF1ceZMhPo8mL8HhJ3EdVrH4ks4QyiY4z4rjZDGVMAgt1Xoz3NywuQbZBrMLqCrKQ6sZp7gNLmb4%2BNtrBbTSwmGTNK7zPOItIzXv0rJWPWVXLM2txV%2F%2BpYRSyv3YQfl2CNVwjfrvbiPVWXLccrA79CxJKk3nRN%2FfShFdYOpjfQYdDt0XOR%2F6Z9axSNmgPlEN4m81Cb6eSozjlxp%2Boqn0xxKmPmpIKZsA%3D%3D&amp;union_lens=lensId%3APUB%401771265337%40212c2d4c_0dfe_19c67a426ce_90f2%40021Cc1bK4xiOKHPgL794KtXg%40eyJmbG9vcklkIjo4MDY3NCwiic3BtQiiI6Il9wb3J0YWxfdjJfcGFnZXNfcHJvbW9fZ29vZHNfaW5kZXhfaHRtIiiwiic3JjRmxvb3JJZCI6IjgwNjc0In0ie%3BtkScm%3AselectionPlaza_site_4358_0_0_0_1_1771265337058114794199"/>
    <hyperlink ref="H35" r:id="rId16" display="https://s.click.taobao.com/t?e=m%3D2%26s%3Dq38cTSvCi45w4vFB6t2Z2ueEDrYVVa64YUrQeSeIhnK53hKxp7mNFl906SyIHsHUaehsYCTVG1f0JlhLk0Jl4QTquP0kWxBLBDnvz6xo38xspWc9%2BCL4bTGF1ceZMhPo8mL8HhJ3EdVrH4ks4QyiY4z4rjZDGVMAFBcM8wkWlGmBPeR%2FUFCetKLWMw3EOEsya4IwMROmDeIMiii8nofK1Bq72tami0OAb6iowcwcWQ0d1VTRN3%2FpDnX%2BJEoJGv1lrvOacrtjLBdyh%2FTFb3x8x4%2BDKwFLEd9Q5dUsQ8NYvbj%2B58h5pKGYu9YY89nTcJHE156qQZD%2BgbNaO3rzZGLwTMYOae24fhW0&amp;union_lens=lensId%3APUB%401771265466%40213e4291_1bff_19c67a620ad_a9b3%40026scMxGsDpklojIBO15t8k0%40eyJmbG9vcklkIjo4MDY3NCwiic3BtQiiI6Il9wb3J0YWxfdjJfcGFnZXNfcHJvbW9fZ29vZHNfaW5kZXhfaHRtIiiwiic3JjRmxvb3JJZCI6IjgwNjc0In0ie%3BtkScm%3AselectionPlaza_site_4358_0_0_0_29_1771265466601114794199%3Bscm%3A1007.30148.329090.pub_search-item_66a9bc56-ebf1-449a-919f-e7d3d6fea6d0_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Zeruns</cp:lastModifiedBy>
  <dcterms:created xsi:type="dcterms:W3CDTF">2026-02-16T16:39:00Z</dcterms:created>
  <dcterms:modified xsi:type="dcterms:W3CDTF">2026-02-16T18:13:52Z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808EEA70C2534328A83C9B3484DA313A_13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